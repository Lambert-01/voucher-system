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F65BFB5-E090-431F-9355-A8E415809407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Dashboard" sheetId="1" r:id="rId1"/>
    <sheet name="Master Register" sheetId="2" r:id="rId2"/>
    <sheet name="Print Index" sheetId="6" r:id="rId3"/>
    <sheet name="Voucher 01" sheetId="7" r:id="rId4"/>
    <sheet name="Voucher 02" sheetId="8" r:id="rId5"/>
    <sheet name="Voucher 03" sheetId="9" r:id="rId6"/>
    <sheet name="Voucher 04" sheetId="10" r:id="rId7"/>
    <sheet name="Voucher 05" sheetId="11" r:id="rId8"/>
    <sheet name="Voucher 06" sheetId="12" r:id="rId9"/>
    <sheet name="Voucher 07" sheetId="13" r:id="rId10"/>
    <sheet name="Voucher 08" sheetId="14" r:id="rId11"/>
    <sheet name="Voucher 09" sheetId="15" r:id="rId12"/>
    <sheet name="Voucher 10" sheetId="16" r:id="rId13"/>
    <sheet name="Voucher 11" sheetId="17" r:id="rId14"/>
    <sheet name="Voucher 12" sheetId="18" r:id="rId15"/>
    <sheet name="Voucher 13" sheetId="19" r:id="rId16"/>
    <sheet name="Voucher 14" sheetId="20" r:id="rId17"/>
    <sheet name="Voucher 15" sheetId="21" r:id="rId18"/>
    <sheet name="Voucher 16" sheetId="22" r:id="rId19"/>
    <sheet name="Voucher 17" sheetId="23" r:id="rId20"/>
    <sheet name="Voucher 18" sheetId="24" r:id="rId21"/>
    <sheet name="Voucher 19" sheetId="25" r:id="rId22"/>
    <sheet name="Sheet1" sheetId="26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5" l="1"/>
  <c r="C18" i="25"/>
  <c r="E17" i="25"/>
  <c r="C17" i="25"/>
  <c r="E16" i="25"/>
  <c r="C16" i="25"/>
  <c r="E15" i="25"/>
  <c r="C15" i="25"/>
  <c r="E14" i="25"/>
  <c r="C14" i="25"/>
  <c r="E13" i="25"/>
  <c r="C13" i="25"/>
  <c r="E12" i="25"/>
  <c r="C12" i="25"/>
  <c r="E11" i="25"/>
  <c r="C11" i="25"/>
  <c r="E10" i="25"/>
  <c r="C10" i="25"/>
  <c r="E9" i="25"/>
  <c r="C9" i="25"/>
  <c r="E8" i="25"/>
  <c r="C8" i="25"/>
  <c r="E7" i="25"/>
  <c r="C7" i="25"/>
  <c r="G5" i="25"/>
  <c r="D5" i="25"/>
  <c r="E18" i="24"/>
  <c r="C18" i="24"/>
  <c r="E17" i="24"/>
  <c r="C17" i="24"/>
  <c r="E16" i="24"/>
  <c r="C16" i="24"/>
  <c r="E15" i="24"/>
  <c r="C15" i="24"/>
  <c r="E14" i="24"/>
  <c r="C14" i="24"/>
  <c r="E13" i="24"/>
  <c r="C13" i="24"/>
  <c r="E12" i="24"/>
  <c r="C12" i="24"/>
  <c r="E11" i="24"/>
  <c r="C11" i="24"/>
  <c r="E10" i="24"/>
  <c r="C10" i="24"/>
  <c r="E9" i="24"/>
  <c r="C9" i="24"/>
  <c r="E8" i="24"/>
  <c r="C8" i="24"/>
  <c r="E7" i="24"/>
  <c r="C7" i="24"/>
  <c r="G5" i="24"/>
  <c r="D5" i="24"/>
  <c r="E18" i="23"/>
  <c r="C18" i="23"/>
  <c r="E17" i="23"/>
  <c r="C17" i="23"/>
  <c r="E16" i="23"/>
  <c r="C16" i="23"/>
  <c r="E15" i="23"/>
  <c r="C15" i="23"/>
  <c r="E14" i="23"/>
  <c r="C14" i="23"/>
  <c r="E13" i="23"/>
  <c r="C13" i="23"/>
  <c r="E12" i="23"/>
  <c r="C12" i="23"/>
  <c r="E11" i="23"/>
  <c r="C11" i="23"/>
  <c r="E10" i="23"/>
  <c r="C10" i="23"/>
  <c r="E9" i="23"/>
  <c r="C9" i="23"/>
  <c r="E8" i="23"/>
  <c r="C8" i="23"/>
  <c r="E7" i="23"/>
  <c r="C7" i="23"/>
  <c r="G5" i="23"/>
  <c r="D5" i="23"/>
  <c r="E18" i="22"/>
  <c r="C18" i="22"/>
  <c r="E17" i="22"/>
  <c r="C17" i="22"/>
  <c r="E16" i="22"/>
  <c r="C16" i="22"/>
  <c r="E15" i="22"/>
  <c r="C15" i="22"/>
  <c r="E14" i="22"/>
  <c r="C14" i="22"/>
  <c r="E13" i="22"/>
  <c r="C13" i="22"/>
  <c r="E12" i="22"/>
  <c r="C12" i="22"/>
  <c r="E11" i="22"/>
  <c r="C11" i="22"/>
  <c r="E10" i="22"/>
  <c r="C10" i="22"/>
  <c r="E9" i="22"/>
  <c r="C9" i="22"/>
  <c r="E8" i="22"/>
  <c r="C8" i="22"/>
  <c r="E7" i="22"/>
  <c r="C7" i="22"/>
  <c r="G5" i="22"/>
  <c r="D5" i="22"/>
  <c r="E18" i="21"/>
  <c r="C18" i="21"/>
  <c r="E17" i="21"/>
  <c r="C17" i="21"/>
  <c r="E16" i="21"/>
  <c r="C16" i="21"/>
  <c r="E15" i="21"/>
  <c r="C15" i="21"/>
  <c r="E14" i="21"/>
  <c r="C14" i="21"/>
  <c r="E13" i="21"/>
  <c r="C13" i="21"/>
  <c r="E12" i="21"/>
  <c r="C12" i="21"/>
  <c r="E11" i="21"/>
  <c r="C11" i="21"/>
  <c r="E10" i="21"/>
  <c r="C10" i="21"/>
  <c r="E9" i="21"/>
  <c r="C9" i="21"/>
  <c r="E8" i="21"/>
  <c r="C8" i="21"/>
  <c r="E7" i="21"/>
  <c r="C7" i="21"/>
  <c r="G5" i="21"/>
  <c r="D5" i="21"/>
  <c r="E18" i="20"/>
  <c r="C18" i="20"/>
  <c r="E17" i="20"/>
  <c r="C17" i="20"/>
  <c r="E16" i="20"/>
  <c r="C16" i="20"/>
  <c r="E15" i="20"/>
  <c r="C15" i="20"/>
  <c r="E14" i="20"/>
  <c r="C14" i="20"/>
  <c r="E13" i="20"/>
  <c r="C13" i="20"/>
  <c r="E12" i="20"/>
  <c r="C12" i="20"/>
  <c r="E11" i="20"/>
  <c r="C11" i="20"/>
  <c r="E10" i="20"/>
  <c r="C10" i="20"/>
  <c r="E9" i="20"/>
  <c r="C9" i="20"/>
  <c r="E8" i="20"/>
  <c r="C8" i="20"/>
  <c r="E7" i="20"/>
  <c r="C7" i="20"/>
  <c r="G5" i="20"/>
  <c r="D5" i="20"/>
  <c r="E18" i="19"/>
  <c r="C18" i="19"/>
  <c r="E17" i="19"/>
  <c r="C17" i="19"/>
  <c r="E16" i="19"/>
  <c r="C16" i="19"/>
  <c r="E15" i="19"/>
  <c r="C15" i="19"/>
  <c r="E14" i="19"/>
  <c r="C14" i="19"/>
  <c r="E13" i="19"/>
  <c r="C13" i="19"/>
  <c r="E12" i="19"/>
  <c r="C12" i="19"/>
  <c r="E11" i="19"/>
  <c r="C11" i="19"/>
  <c r="E10" i="19"/>
  <c r="C10" i="19"/>
  <c r="E9" i="19"/>
  <c r="C9" i="19"/>
  <c r="E8" i="19"/>
  <c r="C8" i="19"/>
  <c r="E7" i="19"/>
  <c r="C7" i="19"/>
  <c r="G5" i="19"/>
  <c r="D5" i="19"/>
  <c r="E18" i="18"/>
  <c r="C18" i="18"/>
  <c r="E17" i="18"/>
  <c r="C17" i="18"/>
  <c r="E16" i="18"/>
  <c r="C16" i="18"/>
  <c r="E15" i="18"/>
  <c r="C15" i="18"/>
  <c r="E14" i="18"/>
  <c r="C14" i="18"/>
  <c r="E13" i="18"/>
  <c r="C13" i="18"/>
  <c r="E12" i="18"/>
  <c r="C12" i="18"/>
  <c r="E11" i="18"/>
  <c r="C11" i="18"/>
  <c r="E10" i="18"/>
  <c r="C10" i="18"/>
  <c r="E9" i="18"/>
  <c r="C9" i="18"/>
  <c r="E8" i="18"/>
  <c r="C8" i="18"/>
  <c r="E7" i="18"/>
  <c r="C7" i="18"/>
  <c r="G5" i="18"/>
  <c r="D5" i="18"/>
  <c r="E18" i="17"/>
  <c r="C18" i="17"/>
  <c r="E17" i="17"/>
  <c r="C17" i="17"/>
  <c r="E16" i="17"/>
  <c r="C16" i="17"/>
  <c r="E15" i="17"/>
  <c r="C15" i="17"/>
  <c r="E14" i="17"/>
  <c r="C14" i="17"/>
  <c r="E13" i="17"/>
  <c r="C13" i="17"/>
  <c r="E12" i="17"/>
  <c r="C12" i="17"/>
  <c r="E11" i="17"/>
  <c r="C11" i="17"/>
  <c r="E10" i="17"/>
  <c r="C10" i="17"/>
  <c r="E9" i="17"/>
  <c r="C9" i="17"/>
  <c r="E8" i="17"/>
  <c r="C8" i="17"/>
  <c r="E7" i="17"/>
  <c r="C7" i="17"/>
  <c r="G5" i="17"/>
  <c r="D5" i="17"/>
  <c r="E18" i="16"/>
  <c r="C18" i="16"/>
  <c r="E17" i="16"/>
  <c r="C17" i="16"/>
  <c r="E16" i="16"/>
  <c r="C16" i="16"/>
  <c r="E15" i="16"/>
  <c r="C15" i="16"/>
  <c r="E14" i="16"/>
  <c r="C14" i="16"/>
  <c r="E13" i="16"/>
  <c r="C13" i="16"/>
  <c r="E12" i="16"/>
  <c r="C12" i="16"/>
  <c r="E11" i="16"/>
  <c r="C11" i="16"/>
  <c r="E10" i="16"/>
  <c r="C10" i="16"/>
  <c r="E9" i="16"/>
  <c r="C9" i="16"/>
  <c r="E8" i="16"/>
  <c r="C8" i="16"/>
  <c r="E7" i="16"/>
  <c r="C7" i="16"/>
  <c r="G5" i="16"/>
  <c r="D5" i="16"/>
  <c r="E18" i="15"/>
  <c r="C18" i="15"/>
  <c r="E17" i="15"/>
  <c r="C17" i="15"/>
  <c r="E16" i="15"/>
  <c r="C16" i="15"/>
  <c r="E15" i="15"/>
  <c r="C15" i="15"/>
  <c r="E14" i="15"/>
  <c r="C14" i="15"/>
  <c r="E13" i="15"/>
  <c r="C13" i="15"/>
  <c r="E12" i="15"/>
  <c r="C12" i="15"/>
  <c r="E11" i="15"/>
  <c r="C11" i="15"/>
  <c r="E10" i="15"/>
  <c r="C10" i="15"/>
  <c r="E9" i="15"/>
  <c r="C9" i="15"/>
  <c r="E8" i="15"/>
  <c r="C8" i="15"/>
  <c r="E7" i="15"/>
  <c r="C7" i="15"/>
  <c r="G5" i="15"/>
  <c r="D5" i="15"/>
  <c r="E18" i="14"/>
  <c r="C18" i="14"/>
  <c r="E17" i="14"/>
  <c r="C17" i="14"/>
  <c r="E16" i="14"/>
  <c r="C16" i="14"/>
  <c r="E15" i="14"/>
  <c r="C15" i="14"/>
  <c r="E14" i="14"/>
  <c r="C14" i="14"/>
  <c r="E13" i="14"/>
  <c r="C13" i="14"/>
  <c r="E12" i="14"/>
  <c r="C12" i="14"/>
  <c r="E11" i="14"/>
  <c r="C11" i="14"/>
  <c r="E10" i="14"/>
  <c r="C10" i="14"/>
  <c r="E9" i="14"/>
  <c r="C9" i="14"/>
  <c r="E8" i="14"/>
  <c r="C8" i="14"/>
  <c r="E7" i="14"/>
  <c r="C7" i="14"/>
  <c r="G5" i="14"/>
  <c r="D5" i="14"/>
  <c r="E19" i="13"/>
  <c r="C19" i="13"/>
  <c r="E18" i="13"/>
  <c r="C18" i="13"/>
  <c r="E17" i="13"/>
  <c r="C17" i="13"/>
  <c r="E16" i="13"/>
  <c r="C16" i="13"/>
  <c r="E15" i="13"/>
  <c r="C15" i="13"/>
  <c r="E14" i="13"/>
  <c r="C14" i="13"/>
  <c r="E13" i="13"/>
  <c r="C13" i="13"/>
  <c r="E12" i="13"/>
  <c r="C12" i="13"/>
  <c r="E11" i="13"/>
  <c r="C11" i="13"/>
  <c r="E10" i="13"/>
  <c r="C10" i="13"/>
  <c r="E9" i="13"/>
  <c r="C9" i="13"/>
  <c r="E8" i="13"/>
  <c r="C8" i="13"/>
  <c r="G5" i="13"/>
  <c r="D5" i="13"/>
  <c r="E19" i="12"/>
  <c r="C19" i="12"/>
  <c r="E18" i="12"/>
  <c r="C18" i="12"/>
  <c r="E17" i="12"/>
  <c r="C17" i="12"/>
  <c r="E16" i="12"/>
  <c r="C16" i="12"/>
  <c r="E15" i="12"/>
  <c r="C15" i="12"/>
  <c r="E14" i="12"/>
  <c r="C14" i="12"/>
  <c r="E13" i="12"/>
  <c r="C13" i="12"/>
  <c r="E12" i="12"/>
  <c r="C12" i="12"/>
  <c r="E11" i="12"/>
  <c r="C11" i="12"/>
  <c r="E10" i="12"/>
  <c r="C10" i="12"/>
  <c r="E9" i="12"/>
  <c r="C9" i="12"/>
  <c r="E8" i="12"/>
  <c r="C8" i="12"/>
  <c r="G5" i="12"/>
  <c r="D5" i="12"/>
  <c r="E18" i="10"/>
  <c r="C18" i="10"/>
  <c r="E17" i="10"/>
  <c r="C17" i="10"/>
  <c r="E16" i="10"/>
  <c r="C16" i="10"/>
  <c r="E15" i="10"/>
  <c r="C15" i="10"/>
  <c r="E14" i="10"/>
  <c r="C14" i="10"/>
  <c r="E13" i="10"/>
  <c r="C13" i="10"/>
  <c r="E12" i="10"/>
  <c r="C12" i="10"/>
  <c r="E11" i="10"/>
  <c r="C11" i="10"/>
  <c r="E10" i="10"/>
  <c r="C10" i="10"/>
  <c r="E9" i="10"/>
  <c r="C9" i="10"/>
  <c r="E8" i="10"/>
  <c r="C8" i="10"/>
  <c r="E7" i="10"/>
  <c r="C7" i="10"/>
  <c r="G5" i="10"/>
  <c r="D5" i="10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G5" i="9"/>
  <c r="D5" i="9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G5" i="8"/>
  <c r="D5" i="8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G5" i="7"/>
  <c r="D5" i="7"/>
  <c r="E18" i="11"/>
  <c r="C18" i="11"/>
  <c r="E17" i="11"/>
  <c r="C17" i="11"/>
  <c r="E16" i="11"/>
  <c r="C16" i="11"/>
  <c r="E15" i="11"/>
  <c r="C15" i="11"/>
  <c r="E14" i="11"/>
  <c r="C14" i="11"/>
  <c r="E13" i="11"/>
  <c r="C13" i="11"/>
  <c r="E12" i="11"/>
  <c r="C12" i="11"/>
  <c r="E11" i="11"/>
  <c r="C11" i="11"/>
  <c r="E10" i="11"/>
  <c r="C10" i="11"/>
  <c r="E9" i="11"/>
  <c r="C9" i="11"/>
  <c r="E8" i="11"/>
  <c r="C8" i="11"/>
  <c r="E7" i="11"/>
  <c r="C7" i="11"/>
  <c r="G5" i="11"/>
  <c r="D5" i="11"/>
</calcChain>
</file>

<file path=xl/sharedStrings.xml><?xml version="1.0" encoding="utf-8"?>
<sst xmlns="http://schemas.openxmlformats.org/spreadsheetml/2006/main" count="1624" uniqueCount="148">
  <si>
    <t>N HONEST SUPERMARKET — MANUAL VOUCHER CONTROL DASHBOARD</t>
  </si>
  <si>
    <t>Manual voucher cards + client fiches + usage log + signatures for safe supermarket control.</t>
  </si>
  <si>
    <t>Total Clients</t>
  </si>
  <si>
    <t>Quick Working Process</t>
  </si>
  <si>
    <t>Total Voucher Value</t>
  </si>
  <si>
    <t>1</t>
  </si>
  <si>
    <t>Confirm payment from sender abroad before issuing the voucher.</t>
  </si>
  <si>
    <t>7</t>
  </si>
  <si>
    <t>Current Balance</t>
  </si>
  <si>
    <t>2</t>
  </si>
  <si>
    <t>Give client the card and keep official fiche at supermarket.</t>
  </si>
  <si>
    <t>Voucher Amount Each</t>
  </si>
  <si>
    <t>3</t>
  </si>
  <si>
    <t>At shopping time, check card against fiche/master register.</t>
  </si>
  <si>
    <t>System Mode</t>
  </si>
  <si>
    <t>Manual / Printed</t>
  </si>
  <si>
    <t>4</t>
  </si>
  <si>
    <t>Deduct used amount, update balance, record receipt number.</t>
  </si>
  <si>
    <t>5</t>
  </si>
  <si>
    <t>Client, cashier, and manager sign the fiche.</t>
  </si>
  <si>
    <t>N HONEST SUPERMARKET — MASTER VOUCHER REGISTER</t>
  </si>
  <si>
    <t>Voucher No</t>
  </si>
  <si>
    <t>Client Name</t>
  </si>
  <si>
    <t>EVA ID</t>
  </si>
  <si>
    <t>Original Amount</t>
  </si>
  <si>
    <t>Balance</t>
  </si>
  <si>
    <t>Status</t>
  </si>
  <si>
    <t>HSV-2026-0001</t>
  </si>
  <si>
    <t>ALLELUIA ALAIN</t>
  </si>
  <si>
    <t>PX-Q3-2026-CB80</t>
  </si>
  <si>
    <t>Active</t>
  </si>
  <si>
    <t>HSV-2026-0002</t>
  </si>
  <si>
    <t>BAHIGIRORA JEAN DE LA CROIX</t>
  </si>
  <si>
    <t>PX-Q3-2026-CB70</t>
  </si>
  <si>
    <t>HSV-2026-0003</t>
  </si>
  <si>
    <t>BRENDA MUTONI</t>
  </si>
  <si>
    <t>PX-Q3-2026-CB85</t>
  </si>
  <si>
    <t>HSV-2026-0004</t>
  </si>
  <si>
    <t>DERRICK KWIZERA</t>
  </si>
  <si>
    <t>PX-Q3-2026-CB82</t>
  </si>
  <si>
    <t>HSV-2026-0005</t>
  </si>
  <si>
    <t>DIDIER NSENGIMANA</t>
  </si>
  <si>
    <t>PX-Q3-2026-CB84</t>
  </si>
  <si>
    <t>HSV-2026-0006</t>
  </si>
  <si>
    <t>GASANA BRUCE</t>
  </si>
  <si>
    <t>PX-Q3-2026-CB73</t>
  </si>
  <si>
    <t>HSV-2026-0007</t>
  </si>
  <si>
    <t>HERVE KAREKEZI</t>
  </si>
  <si>
    <t>PX-Q3-2026-CB81</t>
  </si>
  <si>
    <t>HSV-2026-0008</t>
  </si>
  <si>
    <t>ISINGIZWE ARISTIDE</t>
  </si>
  <si>
    <t>PX-Q3-2026-CB71</t>
  </si>
  <si>
    <t>HSV-2026-0009</t>
  </si>
  <si>
    <t>KAGAME ERIC</t>
  </si>
  <si>
    <t>PX-Q3-2026-CB74</t>
  </si>
  <si>
    <t>HSV-2026-0010</t>
  </si>
  <si>
    <t>MIZERO JEAN FRANCIS</t>
  </si>
  <si>
    <t>PX-Q3-2026-CB76</t>
  </si>
  <si>
    <t>HSV-2026-0011</t>
  </si>
  <si>
    <t>MOISE NTAWIHA</t>
  </si>
  <si>
    <t>PX-Q3-2026-CB86</t>
  </si>
  <si>
    <t>HSV-2026-0012</t>
  </si>
  <si>
    <t>MUGISHA SABIN</t>
  </si>
  <si>
    <t>PX-Q3-2026-CB75</t>
  </si>
  <si>
    <t>HSV-2026-0013</t>
  </si>
  <si>
    <t>PAMELA UHOZABE</t>
  </si>
  <si>
    <t>HSV-2026-0014</t>
  </si>
  <si>
    <t>PRINCE MUGISHA</t>
  </si>
  <si>
    <t>PX-Q3-2026-CB83</t>
  </si>
  <si>
    <t>HSV-2026-0015</t>
  </si>
  <si>
    <t>RWAKAZAYIRE SWAIB</t>
  </si>
  <si>
    <t>HSV-2026-0016</t>
  </si>
  <si>
    <t>TUYISABE AIME JACKSON</t>
  </si>
  <si>
    <t>PX-Q3-2026-CB72</t>
  </si>
  <si>
    <t>HSV-2026-0017</t>
  </si>
  <si>
    <t>UWASE ROSE</t>
  </si>
  <si>
    <t>PX-Q3-2026-CB79</t>
  </si>
  <si>
    <t>HSV-2026-0018</t>
  </si>
  <si>
    <t>UWIZEYE LAMBERT</t>
  </si>
  <si>
    <t>PX-Q3-2026-CB77</t>
  </si>
  <si>
    <t>HSV-2026-0019</t>
  </si>
  <si>
    <t>UWIZEYIMANA CYNTHIA</t>
  </si>
  <si>
    <t>PX-Q3-2026-CB78</t>
  </si>
  <si>
    <t>N HONEST SUPERMARKET — PRINT INDEX FOR SPLIT CLIENT VOUCHER FICHES</t>
  </si>
  <si>
    <t>No.</t>
  </si>
  <si>
    <t>Sheet Name</t>
  </si>
  <si>
    <t>Amount</t>
  </si>
  <si>
    <t>Voucher 01</t>
  </si>
  <si>
    <t>Voucher 02</t>
  </si>
  <si>
    <t>Voucher 03</t>
  </si>
  <si>
    <t>Voucher 04</t>
  </si>
  <si>
    <t>Voucher 05</t>
  </si>
  <si>
    <t>Voucher 06</t>
  </si>
  <si>
    <t>Voucher 07</t>
  </si>
  <si>
    <t>Voucher 08</t>
  </si>
  <si>
    <t>Voucher 09</t>
  </si>
  <si>
    <t>Voucher 10</t>
  </si>
  <si>
    <t>Voucher 11</t>
  </si>
  <si>
    <t>Voucher 12</t>
  </si>
  <si>
    <t>Voucher 13</t>
  </si>
  <si>
    <t>Voucher 14</t>
  </si>
  <si>
    <t>Voucher 15</t>
  </si>
  <si>
    <t>Voucher 16</t>
  </si>
  <si>
    <t>Voucher 17</t>
  </si>
  <si>
    <t>Voucher 18</t>
  </si>
  <si>
    <t>Voucher 19</t>
  </si>
  <si>
    <t>CLIENT VOUCHER FILE — ALLELUIA ALAIN</t>
  </si>
  <si>
    <t>Voucher No:</t>
  </si>
  <si>
    <t>Client Name:</t>
  </si>
  <si>
    <t>Phone:</t>
  </si>
  <si>
    <t>____________________</t>
  </si>
  <si>
    <t>ID Number:</t>
  </si>
  <si>
    <t>EVA ID:</t>
  </si>
  <si>
    <t>Status:</t>
  </si>
  <si>
    <t>Voucher Amount:</t>
  </si>
  <si>
    <t>Current Balance:</t>
  </si>
  <si>
    <t>Date Printed:</t>
  </si>
  <si>
    <t>Date</t>
  </si>
  <si>
    <t>Receipt No.</t>
  </si>
  <si>
    <t>Previous Balance</t>
  </si>
  <si>
    <t>Amount Used</t>
  </si>
  <si>
    <t>New Balance</t>
  </si>
  <si>
    <t>Client Signature</t>
  </si>
  <si>
    <t>Cashier Signature</t>
  </si>
  <si>
    <t>____/____/______</t>
  </si>
  <si>
    <t/>
  </si>
  <si>
    <t>________________</t>
  </si>
  <si>
    <t>Client confirmation:</t>
  </si>
  <si>
    <t>Authorized cashier confirmation:</t>
  </si>
  <si>
    <t>Name &amp; Signature: __________________________</t>
  </si>
  <si>
    <t>CLIENT VOUCHER FILE — BAHIGIRORA JEAN DE LA CROIX</t>
  </si>
  <si>
    <t>CLIENT VOUCHER FILE — BRENDA MUTONI</t>
  </si>
  <si>
    <t>CLIENT VOUCHER FILE — DERRICK KWIZERA</t>
  </si>
  <si>
    <t>CLIENT VOUCHER FILE — DIDIER NSENGIMANA</t>
  </si>
  <si>
    <t>CLIENT VOUCHER FILE — GASANA BRUCE</t>
  </si>
  <si>
    <t>CLIENT VOUCHER FILE — HERVE KAREKEZI</t>
  </si>
  <si>
    <t>CLIENT VOUCHER FILE — ISINGIZWE ARISTIDE</t>
  </si>
  <si>
    <t>CLIENT VOUCHER FILE — KAGAME ERIC</t>
  </si>
  <si>
    <t>CLIENT VOUCHER FILE — MIZERO JEAN FRANCIS</t>
  </si>
  <si>
    <t>CLIENT VOUCHER FILE — MOISE NTAWIHA</t>
  </si>
  <si>
    <t>CLIENT VOUCHER FILE — MUGISHA SABIN</t>
  </si>
  <si>
    <t>CLIENT VOUCHER FILE — PAMELA UHOZABE</t>
  </si>
  <si>
    <t>CLIENT VOUCHER FILE — PRINCE MUGISHA</t>
  </si>
  <si>
    <t>CLIENT VOUCHER FILE — RWAKAZAYIRE SWAIB</t>
  </si>
  <si>
    <t>CLIENT VOUCHER FILE — TUYISABE AIME JACKSON</t>
  </si>
  <si>
    <t>CLIENT VOUCHER FILE — UWASE ROSE</t>
  </si>
  <si>
    <t>CLIENT VOUCHER FILE — UWIZEYE LAMBERT</t>
  </si>
  <si>
    <t>CLIENT VOUCHER FILE — UWIZEYIMANA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</si>
</sst>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#,##0\ &quot;RWF&quot;"/>
  </numFmts>
  <fonts count="12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2"/>
      <color rgb="FF0B4D19"/>
      <name val="Carlito"/>
      <charset val="134"/>
    </font>
    <font>
      <sz val="12"/>
      <color rgb="FF111111"/>
      <name val="Carlito"/>
      <charset val="134"/>
    </font>
    <font>
      <b/>
      <sz val="15"/>
      <color rgb="FF9A6A00"/>
      <name val="Carlito"/>
      <charset val="134"/>
    </font>
    <font>
      <b/>
      <sz val="11"/>
      <color rgb="FFFFFFFF"/>
      <name val="Carlito"/>
      <charset val="134"/>
    </font>
    <font>
      <b/>
      <sz val="11"/>
      <color rgb="FF0B3D1E"/>
      <name val="Carlito"/>
      <charset val="134"/>
    </font>
    <font>
      <b/>
      <sz val="14"/>
      <color rgb="FFFFFFFF"/>
      <name val="Carlito"/>
      <charset val="134"/>
    </font>
    <font>
      <b/>
      <sz val="11"/>
      <color rgb="FF064E3B"/>
      <name val="Carlito"/>
      <charset val="134"/>
    </font>
    <font>
      <b/>
      <sz val="15"/>
      <color rgb="FFFFFFFF"/>
      <name val="Carlito"/>
      <charset val="134"/>
    </font>
    <font>
      <i/>
      <sz val="11"/>
      <color rgb="FF14532D"/>
      <name val="Carlito"/>
      <charset val="134"/>
    </font>
    <font>
      <b/>
      <sz val="11"/>
      <color rgb="FF14532D"/>
      <name val="Carlito"/>
      <charset val="134"/>
    </font>
  </fonts>
  <fills count="10">
    <fill>
      <patternFill patternType="none"/>
    </fill>
    <fill>
      <patternFill patternType="gray125"/>
    </fill>
    <fill>
      <patternFill patternType="solid">
        <fgColor rgb="FF0B3D1E"/>
        <bgColor indexed="64"/>
      </patternFill>
    </fill>
    <fill>
      <patternFill patternType="solid">
        <fgColor rgb="FFEEF7E7"/>
        <bgColor indexed="64"/>
      </patternFill>
    </fill>
    <fill>
      <patternFill patternType="solid">
        <fgColor rgb="FFE8F3E1"/>
        <bgColor indexed="64"/>
      </patternFill>
    </fill>
    <fill>
      <patternFill patternType="solid">
        <fgColor rgb="FF14532D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166" fontId="2" fillId="3" borderId="1" xfId="0" applyNumberFormat="1" applyFont="1" applyFill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66" fontId="3" fillId="0" borderId="0" xfId="0" applyNumberFormat="1" applyFont="1" applyAlignment="1">
      <alignment vertical="center"/>
    </xf>
    <xf numFmtId="166" fontId="2" fillId="3" borderId="0" xfId="0" applyNumberFormat="1" applyFont="1" applyFill="1" applyAlignment="1">
      <alignment vertical="center"/>
    </xf>
    <xf numFmtId="166" fontId="0" fillId="0" borderId="0" xfId="0" applyNumberFormat="1"/>
    <xf numFmtId="14" fontId="3" fillId="0" borderId="0" xfId="0" applyNumberFormat="1" applyFont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5" fillId="7" borderId="7" xfId="0" applyFont="1" applyFill="1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5" xfId="0" applyBorder="1" applyAlignment="1">
      <alignment wrapText="1"/>
    </xf>
    <xf numFmtId="166" fontId="0" fillId="0" borderId="0" xfId="0" applyNumberFormat="1" applyAlignment="1">
      <alignment wrapText="1"/>
    </xf>
    <xf numFmtId="0" fontId="0" fillId="0" borderId="7" xfId="0" applyBorder="1" applyAlignment="1">
      <alignment wrapText="1"/>
    </xf>
    <xf numFmtId="166" fontId="0" fillId="0" borderId="8" xfId="0" applyNumberFormat="1" applyBorder="1" applyAlignment="1">
      <alignment wrapText="1"/>
    </xf>
    <xf numFmtId="0" fontId="11" fillId="8" borderId="2" xfId="0" applyFont="1" applyFill="1" applyBorder="1"/>
    <xf numFmtId="0" fontId="11" fillId="9" borderId="4" xfId="0" applyFont="1" applyFill="1" applyBorder="1" applyAlignment="1">
      <alignment horizontal="right"/>
    </xf>
    <xf numFmtId="0" fontId="11" fillId="8" borderId="5" xfId="0" applyFont="1" applyFill="1" applyBorder="1"/>
    <xf numFmtId="166" fontId="11" fillId="9" borderId="6" xfId="0" applyNumberFormat="1" applyFont="1" applyFill="1" applyBorder="1" applyAlignment="1">
      <alignment horizontal="right"/>
    </xf>
    <xf numFmtId="0" fontId="11" fillId="8" borderId="7" xfId="0" applyFont="1" applyFill="1" applyBorder="1"/>
    <xf numFmtId="0" fontId="11" fillId="9" borderId="9" xfId="0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6" fontId="0" fillId="0" borderId="0" xfId="0" applyNumberFormat="1"/>
    <xf numFmtId="0" fontId="0" fillId="0" borderId="0" xfId="0"/>
    <xf numFmtId="0" fontId="6" fillId="0" borderId="0" xfId="0" applyFont="1" applyAlignment="1">
      <alignment vertical="center"/>
    </xf>
    <xf numFmtId="0" fontId="10" fillId="8" borderId="0" xfId="0" applyFont="1" applyFill="1" applyAlignment="1">
      <alignment horizont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9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6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 wrapText="1"/>
    </xf>
    <xf numFmtId="166" fontId="0" fillId="0" borderId="1" xfId="0" applyNumberFormat="1" applyBorder="1" applyAlignment="1">
      <alignment horizont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0" borderId="0" xfId="0" applyBorder="1"/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90625" cy="758825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0625" cy="7588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676275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" cy="676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/>
  </sheetViews>
  <sheetFormatPr defaultColWidth="9" defaultRowHeight="13.5"/>
  <cols>
    <col min="1" max="1" width="22" customWidth="1"/>
    <col min="2" max="2" width="20" customWidth="1"/>
    <col min="3" max="3" width="4" customWidth="1"/>
    <col min="4" max="4" width="8" customWidth="1"/>
    <col min="5" max="5" width="25" customWidth="1"/>
    <col min="6" max="8" width="20" customWidth="1"/>
  </cols>
  <sheetData>
    <row r="1" spans="1:8">
      <c r="B1" s="51" t="s">
        <v>0</v>
      </c>
      <c r="C1" s="51"/>
      <c r="D1" s="51"/>
      <c r="E1" s="51"/>
      <c r="F1" s="51"/>
      <c r="G1" s="51"/>
      <c r="H1" s="51"/>
    </row>
    <row r="2" spans="1:8">
      <c r="B2" s="51"/>
      <c r="C2" s="51"/>
      <c r="D2" s="51"/>
      <c r="E2" s="51"/>
      <c r="F2" s="51"/>
      <c r="G2" s="51"/>
      <c r="H2" s="51"/>
    </row>
    <row r="3" spans="1:8">
      <c r="B3" s="43" t="s">
        <v>1</v>
      </c>
      <c r="C3" s="43"/>
      <c r="D3" s="43"/>
      <c r="E3" s="43"/>
      <c r="F3" s="43"/>
      <c r="G3" s="43"/>
      <c r="H3" s="43"/>
    </row>
    <row r="5" spans="1:8">
      <c r="A5" s="31" t="s">
        <v>2</v>
      </c>
      <c r="B5" s="32">
        <v>19</v>
      </c>
      <c r="D5" s="44" t="s">
        <v>3</v>
      </c>
      <c r="E5" s="45"/>
      <c r="F5" s="45"/>
      <c r="G5" s="45"/>
      <c r="H5" s="46"/>
    </row>
    <row r="6" spans="1:8">
      <c r="A6" s="33" t="s">
        <v>4</v>
      </c>
      <c r="B6" s="34">
        <v>8299200</v>
      </c>
      <c r="D6" s="23" t="s">
        <v>5</v>
      </c>
      <c r="E6" s="47" t="s">
        <v>6</v>
      </c>
      <c r="F6" s="47" t="s">
        <v>7</v>
      </c>
      <c r="G6" s="47" t="s">
        <v>7</v>
      </c>
      <c r="H6" s="48" t="s">
        <v>7</v>
      </c>
    </row>
    <row r="7" spans="1:8">
      <c r="A7" s="33" t="s">
        <v>8</v>
      </c>
      <c r="B7" s="34">
        <v>8299200</v>
      </c>
      <c r="D7" s="23" t="s">
        <v>9</v>
      </c>
      <c r="E7" s="47" t="s">
        <v>10</v>
      </c>
      <c r="F7" s="47" t="s">
        <v>7</v>
      </c>
      <c r="G7" s="47" t="s">
        <v>7</v>
      </c>
      <c r="H7" s="48" t="s">
        <v>7</v>
      </c>
    </row>
    <row r="8" spans="1:8">
      <c r="A8" s="33" t="s">
        <v>11</v>
      </c>
      <c r="B8" s="34">
        <v>436800</v>
      </c>
      <c r="D8" s="23" t="s">
        <v>12</v>
      </c>
      <c r="E8" s="47" t="s">
        <v>13</v>
      </c>
      <c r="F8" s="47" t="s">
        <v>7</v>
      </c>
      <c r="G8" s="47" t="s">
        <v>7</v>
      </c>
      <c r="H8" s="48" t="s">
        <v>7</v>
      </c>
    </row>
    <row r="9" spans="1:8">
      <c r="A9" s="35" t="s">
        <v>14</v>
      </c>
      <c r="B9" s="36" t="s">
        <v>15</v>
      </c>
      <c r="D9" s="23" t="s">
        <v>16</v>
      </c>
      <c r="E9" s="47" t="s">
        <v>17</v>
      </c>
      <c r="F9" s="47" t="s">
        <v>7</v>
      </c>
      <c r="G9" s="47" t="s">
        <v>7</v>
      </c>
      <c r="H9" s="48" t="s">
        <v>7</v>
      </c>
    </row>
    <row r="10" spans="1:8">
      <c r="D10" s="25" t="s">
        <v>18</v>
      </c>
      <c r="E10" s="49" t="s">
        <v>19</v>
      </c>
      <c r="F10" s="49" t="s">
        <v>7</v>
      </c>
      <c r="G10" s="49" t="s">
        <v>7</v>
      </c>
      <c r="H10" s="50" t="s">
        <v>7</v>
      </c>
    </row>
  </sheetData>
  <mergeCells count="8">
    <mergeCell ref="E9:H9"/>
    <mergeCell ref="E10:H10"/>
    <mergeCell ref="B1:H2"/>
    <mergeCell ref="B3:H3"/>
    <mergeCell ref="D5:H5"/>
    <mergeCell ref="E6:H6"/>
    <mergeCell ref="E7:H7"/>
    <mergeCell ref="E8:H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opLeftCell="A31" workbookViewId="0">
      <selection activeCell="G4" sqref="G1:G1048576"/>
    </sheetView>
  </sheetViews>
  <sheetFormatPr defaultColWidth="9" defaultRowHeight="13.5"/>
  <cols>
    <col min="1" max="1" width="17" customWidth="1"/>
    <col min="2" max="2" width="30" customWidth="1"/>
    <col min="3" max="3" width="20" customWidth="1"/>
    <col min="4" max="6" width="16" customWidth="1"/>
  </cols>
  <sheetData>
    <row r="1" spans="1:6">
      <c r="B1" s="51" t="s">
        <v>20</v>
      </c>
      <c r="C1" s="51"/>
      <c r="D1" s="51"/>
      <c r="E1" s="51"/>
      <c r="F1" s="51"/>
    </row>
    <row r="2" spans="1:6">
      <c r="B2" s="51"/>
      <c r="C2" s="51"/>
      <c r="D2" s="51"/>
      <c r="E2" s="51"/>
      <c r="F2" s="51"/>
    </row>
    <row r="3" spans="1:6">
      <c r="B3" s="43"/>
      <c r="C3" s="43"/>
      <c r="D3" s="43"/>
      <c r="E3" s="43"/>
      <c r="F3" s="43"/>
    </row>
    <row r="5" spans="1:6" ht="27">
      <c r="A5" s="21" t="s">
        <v>21</v>
      </c>
      <c r="B5" s="22" t="s">
        <v>22</v>
      </c>
      <c r="C5" s="22" t="s">
        <v>23</v>
      </c>
      <c r="D5" s="22" t="s">
        <v>24</v>
      </c>
      <c r="E5" s="22" t="s">
        <v>25</v>
      </c>
      <c r="F5" s="22" t="s">
        <v>26</v>
      </c>
    </row>
    <row r="6" spans="1:6">
      <c r="A6" s="27" t="s">
        <v>27</v>
      </c>
      <c r="B6" s="24" t="s">
        <v>28</v>
      </c>
      <c r="C6" s="24" t="s">
        <v>29</v>
      </c>
      <c r="D6" s="28">
        <v>436800</v>
      </c>
      <c r="E6" s="28">
        <v>436800</v>
      </c>
      <c r="F6" s="24" t="s">
        <v>30</v>
      </c>
    </row>
    <row r="7" spans="1:6">
      <c r="A7" s="27" t="s">
        <v>31</v>
      </c>
      <c r="B7" s="24" t="s">
        <v>32</v>
      </c>
      <c r="C7" s="24" t="s">
        <v>33</v>
      </c>
      <c r="D7" s="28">
        <v>436800</v>
      </c>
      <c r="E7" s="28">
        <v>436800</v>
      </c>
      <c r="F7" s="24" t="s">
        <v>30</v>
      </c>
    </row>
    <row r="8" spans="1:6">
      <c r="A8" s="27" t="s">
        <v>34</v>
      </c>
      <c r="B8" s="24" t="s">
        <v>35</v>
      </c>
      <c r="C8" s="24" t="s">
        <v>36</v>
      </c>
      <c r="D8" s="28">
        <v>436800</v>
      </c>
      <c r="E8" s="28">
        <v>436800</v>
      </c>
      <c r="F8" s="24" t="s">
        <v>30</v>
      </c>
    </row>
    <row r="9" spans="1:6">
      <c r="A9" s="27" t="s">
        <v>37</v>
      </c>
      <c r="B9" s="24" t="s">
        <v>38</v>
      </c>
      <c r="C9" s="24" t="s">
        <v>39</v>
      </c>
      <c r="D9" s="28">
        <v>436800</v>
      </c>
      <c r="E9" s="28">
        <v>436800</v>
      </c>
      <c r="F9" s="24" t="s">
        <v>30</v>
      </c>
    </row>
    <row r="10" spans="1:6">
      <c r="A10" s="27" t="s">
        <v>40</v>
      </c>
      <c r="B10" s="24" t="s">
        <v>41</v>
      </c>
      <c r="C10" s="24" t="s">
        <v>42</v>
      </c>
      <c r="D10" s="28">
        <v>436800</v>
      </c>
      <c r="E10" s="28">
        <v>436800</v>
      </c>
      <c r="F10" s="24" t="s">
        <v>30</v>
      </c>
    </row>
    <row r="11" spans="1:6">
      <c r="A11" s="27" t="s">
        <v>43</v>
      </c>
      <c r="B11" s="24" t="s">
        <v>44</v>
      </c>
      <c r="C11" s="24" t="s">
        <v>45</v>
      </c>
      <c r="D11" s="28">
        <v>436800</v>
      </c>
      <c r="E11" s="28">
        <v>436800</v>
      </c>
      <c r="F11" s="24" t="s">
        <v>30</v>
      </c>
    </row>
    <row r="12" spans="1:6">
      <c r="A12" s="27" t="s">
        <v>46</v>
      </c>
      <c r="B12" s="24" t="s">
        <v>47</v>
      </c>
      <c r="C12" s="24" t="s">
        <v>48</v>
      </c>
      <c r="D12" s="28">
        <v>436800</v>
      </c>
      <c r="E12" s="28">
        <v>436800</v>
      </c>
      <c r="F12" s="24" t="s">
        <v>30</v>
      </c>
    </row>
    <row r="13" spans="1:6">
      <c r="A13" s="27" t="s">
        <v>49</v>
      </c>
      <c r="B13" s="24" t="s">
        <v>50</v>
      </c>
      <c r="C13" s="24" t="s">
        <v>51</v>
      </c>
      <c r="D13" s="28">
        <v>436800</v>
      </c>
      <c r="E13" s="28">
        <v>436800</v>
      </c>
      <c r="F13" s="24" t="s">
        <v>30</v>
      </c>
    </row>
    <row r="14" spans="1:6">
      <c r="A14" s="27" t="s">
        <v>52</v>
      </c>
      <c r="B14" s="24" t="s">
        <v>53</v>
      </c>
      <c r="C14" s="24" t="s">
        <v>54</v>
      </c>
      <c r="D14" s="28">
        <v>436800</v>
      </c>
      <c r="E14" s="28">
        <v>436800</v>
      </c>
      <c r="F14" s="24" t="s">
        <v>30</v>
      </c>
    </row>
    <row r="15" spans="1:6">
      <c r="A15" s="27" t="s">
        <v>55</v>
      </c>
      <c r="B15" s="24" t="s">
        <v>56</v>
      </c>
      <c r="C15" s="24" t="s">
        <v>57</v>
      </c>
      <c r="D15" s="28">
        <v>436800</v>
      </c>
      <c r="E15" s="28">
        <v>436800</v>
      </c>
      <c r="F15" s="24" t="s">
        <v>30</v>
      </c>
    </row>
    <row r="16" spans="1:6">
      <c r="A16" s="27" t="s">
        <v>58</v>
      </c>
      <c r="B16" s="24" t="s">
        <v>59</v>
      </c>
      <c r="C16" s="24" t="s">
        <v>60</v>
      </c>
      <c r="D16" s="28">
        <v>436800</v>
      </c>
      <c r="E16" s="28">
        <v>436800</v>
      </c>
      <c r="F16" s="24" t="s">
        <v>30</v>
      </c>
    </row>
    <row r="17" spans="1:6">
      <c r="A17" s="27" t="s">
        <v>61</v>
      </c>
      <c r="B17" s="24" t="s">
        <v>62</v>
      </c>
      <c r="C17" s="24" t="s">
        <v>63</v>
      </c>
      <c r="D17" s="28">
        <v>436800</v>
      </c>
      <c r="E17" s="28">
        <v>436800</v>
      </c>
      <c r="F17" s="24" t="s">
        <v>30</v>
      </c>
    </row>
    <row r="18" spans="1:6">
      <c r="A18" s="27" t="s">
        <v>64</v>
      </c>
      <c r="B18" s="24" t="s">
        <v>65</v>
      </c>
      <c r="C18" s="24" t="s">
        <v>7</v>
      </c>
      <c r="D18" s="28">
        <v>436800</v>
      </c>
      <c r="E18" s="28">
        <v>436800</v>
      </c>
      <c r="F18" s="24" t="s">
        <v>30</v>
      </c>
    </row>
    <row r="19" spans="1:6">
      <c r="A19" s="27" t="s">
        <v>66</v>
      </c>
      <c r="B19" s="24" t="s">
        <v>67</v>
      </c>
      <c r="C19" s="24" t="s">
        <v>68</v>
      </c>
      <c r="D19" s="28">
        <v>436800</v>
      </c>
      <c r="E19" s="28">
        <v>436800</v>
      </c>
      <c r="F19" s="24" t="s">
        <v>30</v>
      </c>
    </row>
    <row r="20" spans="1:6">
      <c r="A20" s="27" t="s">
        <v>69</v>
      </c>
      <c r="B20" s="24" t="s">
        <v>70</v>
      </c>
      <c r="C20" s="24" t="s">
        <v>7</v>
      </c>
      <c r="D20" s="28">
        <v>436800</v>
      </c>
      <c r="E20" s="28">
        <v>436800</v>
      </c>
      <c r="F20" s="24" t="s">
        <v>30</v>
      </c>
    </row>
    <row r="21" spans="1:6">
      <c r="A21" s="27" t="s">
        <v>71</v>
      </c>
      <c r="B21" s="24" t="s">
        <v>72</v>
      </c>
      <c r="C21" s="24" t="s">
        <v>73</v>
      </c>
      <c r="D21" s="28">
        <v>436800</v>
      </c>
      <c r="E21" s="28">
        <v>436800</v>
      </c>
      <c r="F21" s="24" t="s">
        <v>30</v>
      </c>
    </row>
    <row r="22" spans="1:6">
      <c r="A22" s="27" t="s">
        <v>74</v>
      </c>
      <c r="B22" s="24" t="s">
        <v>75</v>
      </c>
      <c r="C22" s="24" t="s">
        <v>76</v>
      </c>
      <c r="D22" s="28">
        <v>436800</v>
      </c>
      <c r="E22" s="28">
        <v>436800</v>
      </c>
      <c r="F22" s="24" t="s">
        <v>30</v>
      </c>
    </row>
    <row r="23" spans="1:6">
      <c r="A23" s="27" t="s">
        <v>77</v>
      </c>
      <c r="B23" s="24" t="s">
        <v>78</v>
      </c>
      <c r="C23" s="24" t="s">
        <v>79</v>
      </c>
      <c r="D23" s="28">
        <v>436800</v>
      </c>
      <c r="E23" s="28">
        <v>436800</v>
      </c>
      <c r="F23" s="24" t="s">
        <v>30</v>
      </c>
    </row>
    <row r="24" spans="1:6">
      <c r="A24" s="29" t="s">
        <v>80</v>
      </c>
      <c r="B24" s="26" t="s">
        <v>81</v>
      </c>
      <c r="C24" s="26" t="s">
        <v>82</v>
      </c>
      <c r="D24" s="30">
        <v>436800</v>
      </c>
      <c r="E24" s="30">
        <v>436800</v>
      </c>
      <c r="F24" s="26" t="s">
        <v>30</v>
      </c>
    </row>
  </sheetData>
  <mergeCells count="2">
    <mergeCell ref="B3:F3"/>
    <mergeCell ref="B1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tabSelected="1" workbookViewId="0">
      <selection activeCell="D30" sqref="D30"/>
    </sheetView>
  </sheetViews>
  <sheetFormatPr defaultColWidth="9" defaultRowHeight="13.5"/>
  <cols>
    <col min="1" max="1" width="6" customWidth="1"/>
    <col min="2" max="2" width="14" customWidth="1"/>
    <col min="3" max="3" width="18" customWidth="1"/>
    <col min="4" max="4" width="32" customWidth="1"/>
    <col min="5" max="5" width="22" customWidth="1"/>
    <col min="6" max="6" width="14" customWidth="1"/>
  </cols>
  <sheetData>
    <row r="1" spans="1:6" ht="18.75">
      <c r="A1" s="52" t="s">
        <v>83</v>
      </c>
      <c r="B1" s="52"/>
      <c r="C1" s="52"/>
      <c r="D1" s="52"/>
      <c r="E1" s="52"/>
      <c r="F1" s="52"/>
    </row>
    <row r="3" spans="1:6">
      <c r="A3" s="18" t="s">
        <v>84</v>
      </c>
      <c r="B3" s="18" t="s">
        <v>85</v>
      </c>
      <c r="C3" s="18" t="s">
        <v>21</v>
      </c>
      <c r="D3" s="18" t="s">
        <v>22</v>
      </c>
      <c r="E3" s="18" t="s">
        <v>23</v>
      </c>
      <c r="F3" s="18" t="s">
        <v>86</v>
      </c>
    </row>
    <row r="4" spans="1:6">
      <c r="A4" s="19">
        <v>1</v>
      </c>
      <c r="B4" s="19" t="s">
        <v>87</v>
      </c>
      <c r="C4" s="19" t="s">
        <v>27</v>
      </c>
      <c r="D4" s="19" t="s">
        <v>28</v>
      </c>
      <c r="E4" s="19" t="s">
        <v>29</v>
      </c>
      <c r="F4" s="20">
        <v>436800</v>
      </c>
    </row>
    <row r="5" spans="1:6">
      <c r="A5" s="19">
        <v>2</v>
      </c>
      <c r="B5" s="19" t="s">
        <v>88</v>
      </c>
      <c r="C5" s="19" t="s">
        <v>31</v>
      </c>
      <c r="D5" s="19" t="s">
        <v>32</v>
      </c>
      <c r="E5" s="19" t="s">
        <v>33</v>
      </c>
      <c r="F5" s="20">
        <v>436800</v>
      </c>
    </row>
    <row r="6" spans="1:6">
      <c r="A6" s="19">
        <v>3</v>
      </c>
      <c r="B6" s="19" t="s">
        <v>89</v>
      </c>
      <c r="C6" s="19" t="s">
        <v>34</v>
      </c>
      <c r="D6" s="19" t="s">
        <v>35</v>
      </c>
      <c r="E6" s="19" t="s">
        <v>36</v>
      </c>
      <c r="F6" s="20">
        <v>436800</v>
      </c>
    </row>
    <row r="7" spans="1:6">
      <c r="A7" s="19">
        <v>4</v>
      </c>
      <c r="B7" s="19" t="s">
        <v>90</v>
      </c>
      <c r="C7" s="19" t="s">
        <v>37</v>
      </c>
      <c r="D7" s="19" t="s">
        <v>38</v>
      </c>
      <c r="E7" s="19" t="s">
        <v>39</v>
      </c>
      <c r="F7" s="20">
        <v>436800</v>
      </c>
    </row>
    <row r="8" spans="1:6">
      <c r="A8" s="19">
        <v>5</v>
      </c>
      <c r="B8" s="19" t="s">
        <v>91</v>
      </c>
      <c r="C8" s="19" t="s">
        <v>40</v>
      </c>
      <c r="D8" s="19" t="s">
        <v>41</v>
      </c>
      <c r="E8" s="19" t="s">
        <v>42</v>
      </c>
      <c r="F8" s="20">
        <v>436800</v>
      </c>
    </row>
    <row r="9" spans="1:6">
      <c r="A9" s="19">
        <v>6</v>
      </c>
      <c r="B9" s="19" t="s">
        <v>92</v>
      </c>
      <c r="C9" s="19" t="s">
        <v>43</v>
      </c>
      <c r="D9" s="19" t="s">
        <v>44</v>
      </c>
      <c r="E9" s="19" t="s">
        <v>45</v>
      </c>
      <c r="F9" s="20">
        <v>436800</v>
      </c>
    </row>
    <row r="10" spans="1:6">
      <c r="A10" s="19">
        <v>7</v>
      </c>
      <c r="B10" s="19" t="s">
        <v>93</v>
      </c>
      <c r="C10" s="19" t="s">
        <v>46</v>
      </c>
      <c r="D10" s="19" t="s">
        <v>47</v>
      </c>
      <c r="E10" s="19" t="s">
        <v>48</v>
      </c>
      <c r="F10" s="20">
        <v>436800</v>
      </c>
    </row>
    <row r="11" spans="1:6">
      <c r="A11" s="19">
        <v>8</v>
      </c>
      <c r="B11" s="19" t="s">
        <v>94</v>
      </c>
      <c r="C11" s="19" t="s">
        <v>49</v>
      </c>
      <c r="D11" s="19" t="s">
        <v>50</v>
      </c>
      <c r="E11" s="19" t="s">
        <v>51</v>
      </c>
      <c r="F11" s="20">
        <v>436800</v>
      </c>
    </row>
    <row r="12" spans="1:6">
      <c r="A12" s="19">
        <v>9</v>
      </c>
      <c r="B12" s="19" t="s">
        <v>95</v>
      </c>
      <c r="C12" s="19" t="s">
        <v>52</v>
      </c>
      <c r="D12" s="19" t="s">
        <v>53</v>
      </c>
      <c r="E12" s="19" t="s">
        <v>54</v>
      </c>
      <c r="F12" s="20">
        <v>436800</v>
      </c>
    </row>
    <row r="13" spans="1:6">
      <c r="A13" s="19">
        <v>10</v>
      </c>
      <c r="B13" s="19" t="s">
        <v>96</v>
      </c>
      <c r="C13" s="19" t="s">
        <v>55</v>
      </c>
      <c r="D13" s="19" t="s">
        <v>56</v>
      </c>
      <c r="E13" s="19" t="s">
        <v>57</v>
      </c>
      <c r="F13" s="20">
        <v>436800</v>
      </c>
    </row>
    <row r="14" spans="1:6">
      <c r="A14" s="19">
        <v>11</v>
      </c>
      <c r="B14" s="19" t="s">
        <v>97</v>
      </c>
      <c r="C14" s="19" t="s">
        <v>58</v>
      </c>
      <c r="D14" s="19" t="s">
        <v>59</v>
      </c>
      <c r="E14" s="19" t="s">
        <v>60</v>
      </c>
      <c r="F14" s="20">
        <v>436800</v>
      </c>
    </row>
    <row r="15" spans="1:6">
      <c r="A15" s="19">
        <v>12</v>
      </c>
      <c r="B15" s="19" t="s">
        <v>98</v>
      </c>
      <c r="C15" s="19" t="s">
        <v>61</v>
      </c>
      <c r="D15" s="19" t="s">
        <v>62</v>
      </c>
      <c r="E15" s="19" t="s">
        <v>63</v>
      </c>
      <c r="F15" s="20">
        <v>436800</v>
      </c>
    </row>
    <row r="16" spans="1:6">
      <c r="A16" s="19">
        <v>13</v>
      </c>
      <c r="B16" s="19" t="s">
        <v>99</v>
      </c>
      <c r="C16" s="19" t="s">
        <v>64</v>
      </c>
      <c r="D16" s="19" t="s">
        <v>65</v>
      </c>
      <c r="E16" s="19" t="s">
        <v>7</v>
      </c>
      <c r="F16" s="20">
        <v>436800</v>
      </c>
    </row>
    <row r="17" spans="1:6">
      <c r="A17" s="19">
        <v>14</v>
      </c>
      <c r="B17" s="19" t="s">
        <v>100</v>
      </c>
      <c r="C17" s="19" t="s">
        <v>66</v>
      </c>
      <c r="D17" s="19" t="s">
        <v>67</v>
      </c>
      <c r="E17" s="19" t="s">
        <v>68</v>
      </c>
      <c r="F17" s="20">
        <v>436800</v>
      </c>
    </row>
    <row r="18" spans="1:6">
      <c r="A18" s="19">
        <v>15</v>
      </c>
      <c r="B18" s="19" t="s">
        <v>101</v>
      </c>
      <c r="C18" s="19" t="s">
        <v>69</v>
      </c>
      <c r="D18" s="19" t="s">
        <v>70</v>
      </c>
      <c r="E18" s="19" t="s">
        <v>7</v>
      </c>
      <c r="F18" s="20">
        <v>436800</v>
      </c>
    </row>
    <row r="19" spans="1:6">
      <c r="A19" s="19">
        <v>16</v>
      </c>
      <c r="B19" s="19" t="s">
        <v>102</v>
      </c>
      <c r="C19" s="19" t="s">
        <v>71</v>
      </c>
      <c r="D19" s="19" t="s">
        <v>72</v>
      </c>
      <c r="E19" s="19" t="s">
        <v>73</v>
      </c>
      <c r="F19" s="20">
        <v>436800</v>
      </c>
    </row>
    <row r="20" spans="1:6">
      <c r="A20" s="19">
        <v>17</v>
      </c>
      <c r="B20" s="19" t="s">
        <v>103</v>
      </c>
      <c r="C20" s="19" t="s">
        <v>74</v>
      </c>
      <c r="D20" s="19" t="s">
        <v>75</v>
      </c>
      <c r="E20" s="19" t="s">
        <v>76</v>
      </c>
      <c r="F20" s="20">
        <v>436800</v>
      </c>
    </row>
    <row r="21" spans="1:6">
      <c r="A21" s="19">
        <v>18</v>
      </c>
      <c r="B21" s="19" t="s">
        <v>104</v>
      </c>
      <c r="C21" s="19" t="s">
        <v>77</v>
      </c>
      <c r="D21" s="19" t="s">
        <v>78</v>
      </c>
      <c r="E21" s="19" t="s">
        <v>79</v>
      </c>
      <c r="F21" s="20">
        <v>436800</v>
      </c>
    </row>
    <row r="22" spans="1:6">
      <c r="A22" s="19">
        <v>19</v>
      </c>
      <c r="B22" s="19" t="s">
        <v>105</v>
      </c>
      <c r="C22" s="19" t="s">
        <v>80</v>
      </c>
      <c r="D22" s="19" t="s">
        <v>81</v>
      </c>
      <c r="E22" s="19" t="s">
        <v>82</v>
      </c>
      <c r="F22" s="20">
        <v>436800</v>
      </c>
    </row>
    <row r="23" spans="1:6">
      <c r="F23" s="14"/>
    </row>
    <row r="24" spans="1:6">
      <c r="F24" s="14"/>
    </row>
    <row r="25" spans="1:6">
      <c r="F25" s="14"/>
    </row>
    <row r="26" spans="1:6">
      <c r="F26" s="14"/>
    </row>
    <row r="27" spans="1:6">
      <c r="F27" s="14"/>
    </row>
    <row r="28" spans="1:6">
      <c r="F28" s="14"/>
    </row>
    <row r="29" spans="1:6">
      <c r="F29" s="14"/>
    </row>
    <row r="30" spans="1:6">
      <c r="F30" s="14"/>
    </row>
    <row r="31" spans="1:6">
      <c r="F31" s="14"/>
    </row>
    <row r="32" spans="1:6">
      <c r="F32" s="14"/>
    </row>
    <row r="33" spans="6:6">
      <c r="F33" s="14"/>
    </row>
    <row r="34" spans="6:6">
      <c r="F34" s="14"/>
    </row>
    <row r="35" spans="6:6">
      <c r="F35" s="14"/>
    </row>
    <row r="36" spans="6:6">
      <c r="F36" s="14"/>
    </row>
    <row r="37" spans="6:6">
      <c r="F37" s="14"/>
    </row>
    <row r="38" spans="6:6">
      <c r="F38" s="14"/>
    </row>
    <row r="39" spans="6:6">
      <c r="F39" s="14"/>
    </row>
    <row r="40" spans="6:6">
      <c r="F40" s="14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workbookViewId="0">
      <selection activeCell="A10" sqref="A10"/>
    </sheetView>
  </sheetViews>
  <sheetFormatPr defaultColWidth="9" defaultRowHeight="13.5"/>
  <cols>
    <col min="1" max="1" width="16.875" customWidth="1"/>
    <col min="2" max="3" width="18" customWidth="1"/>
    <col min="4" max="4" width="16" customWidth="1"/>
    <col min="5" max="5" width="18" customWidth="1"/>
    <col min="6" max="7" width="22" customWidth="1"/>
    <col min="11" max="11" width="5" customWidth="1"/>
  </cols>
  <sheetData>
    <row r="1" spans="1:7" ht="30" customHeight="1">
      <c r="A1" s="37" t="s">
        <v>106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27</v>
      </c>
      <c r="C3" s="10" t="s">
        <v>108</v>
      </c>
      <c r="D3" s="38" t="s">
        <v>28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29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B5-SUM(D8:D19)</f>
        <v>436800</v>
      </c>
      <c r="E5" s="41"/>
      <c r="F5" s="10" t="s">
        <v>116</v>
      </c>
      <c r="G5" s="15">
        <f ca="1">TODAY()</f>
        <v>46177</v>
      </c>
    </row>
    <row r="7" spans="1:7" ht="24.95" customHeight="1">
      <c r="A7" s="16" t="s">
        <v>117</v>
      </c>
      <c r="B7" s="16" t="s">
        <v>118</v>
      </c>
      <c r="C7" s="16" t="s">
        <v>119</v>
      </c>
      <c r="D7" s="16" t="s">
        <v>120</v>
      </c>
      <c r="E7" s="16" t="s">
        <v>121</v>
      </c>
      <c r="F7" s="16" t="s">
        <v>122</v>
      </c>
      <c r="G7" s="16" t="s">
        <v>123</v>
      </c>
    </row>
    <row r="8" spans="1:7" ht="34.5" customHeight="1">
      <c r="A8" s="58" t="s">
        <v>124</v>
      </c>
      <c r="B8" s="8" t="s">
        <v>125</v>
      </c>
      <c r="C8" s="9" t="str">
        <f>IF(D8="","",$B$5)</f>
        <v/>
      </c>
      <c r="D8" s="9"/>
      <c r="E8" s="9" t="str">
        <f t="shared" ref="E8:E19" si="0">IF(D8="","",C8-D8)</f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8" t="s">
        <v>125</v>
      </c>
      <c r="C9" s="9" t="str">
        <f t="shared" ref="C9:C19" si="1">IF(D9="","",E8)</f>
        <v/>
      </c>
      <c r="D9" s="9"/>
      <c r="E9" s="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8" t="s">
        <v>125</v>
      </c>
      <c r="C10" s="9" t="str">
        <f t="shared" si="1"/>
        <v/>
      </c>
      <c r="D10" s="9"/>
      <c r="E10" s="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8" t="s">
        <v>125</v>
      </c>
      <c r="C11" s="9" t="str">
        <f t="shared" si="1"/>
        <v/>
      </c>
      <c r="D11" s="9"/>
      <c r="E11" s="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8" t="s">
        <v>125</v>
      </c>
      <c r="C12" s="9" t="str">
        <f t="shared" si="1"/>
        <v/>
      </c>
      <c r="D12" s="9"/>
      <c r="E12" s="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8" t="s">
        <v>125</v>
      </c>
      <c r="C13" s="9" t="str">
        <f t="shared" si="1"/>
        <v/>
      </c>
      <c r="D13" s="9"/>
      <c r="E13" s="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8" t="s">
        <v>125</v>
      </c>
      <c r="C14" s="9" t="str">
        <f t="shared" si="1"/>
        <v/>
      </c>
      <c r="D14" s="9"/>
      <c r="E14" s="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8" t="s">
        <v>125</v>
      </c>
      <c r="C15" s="9" t="str">
        <f t="shared" si="1"/>
        <v/>
      </c>
      <c r="D15" s="9"/>
      <c r="E15" s="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8" t="s">
        <v>125</v>
      </c>
      <c r="C16" s="9" t="str">
        <f t="shared" si="1"/>
        <v/>
      </c>
      <c r="D16" s="9"/>
      <c r="E16" s="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8" t="s">
        <v>125</v>
      </c>
      <c r="C17" s="9" t="str">
        <f t="shared" si="1"/>
        <v/>
      </c>
      <c r="D17" s="9"/>
      <c r="E17" s="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8" t="s">
        <v>125</v>
      </c>
      <c r="C18" s="9" t="str">
        <f t="shared" si="1"/>
        <v/>
      </c>
      <c r="D18" s="9"/>
      <c r="E18" s="9" t="str">
        <f t="shared" si="0"/>
        <v/>
      </c>
      <c r="F18" s="58" t="s">
        <v>126</v>
      </c>
      <c r="G18" s="58" t="s">
        <v>126</v>
      </c>
    </row>
    <row r="19" spans="1:7" ht="24.95" customHeight="1">
      <c r="A19" s="58" t="s">
        <v>124</v>
      </c>
      <c r="B19" s="8" t="s">
        <v>125</v>
      </c>
      <c r="C19" s="9" t="str">
        <f t="shared" si="1"/>
        <v/>
      </c>
      <c r="D19" s="9"/>
      <c r="E19" s="9" t="str">
        <f t="shared" si="0"/>
        <v/>
      </c>
      <c r="F19" s="58" t="s">
        <v>126</v>
      </c>
      <c r="G19" s="58" t="s">
        <v>126</v>
      </c>
    </row>
    <row r="21" spans="1:7">
      <c r="A21" s="42" t="s">
        <v>127</v>
      </c>
      <c r="B21" s="42"/>
      <c r="C21" s="42"/>
      <c r="D21" s="17"/>
      <c r="E21" s="42" t="s">
        <v>128</v>
      </c>
      <c r="F21" s="42"/>
      <c r="G21" s="42"/>
    </row>
    <row r="22" spans="1:7">
      <c r="A22" s="42" t="s">
        <v>129</v>
      </c>
      <c r="B22" s="42"/>
      <c r="C22" s="42"/>
      <c r="D22" s="17"/>
      <c r="E22" s="42" t="s">
        <v>129</v>
      </c>
      <c r="F22" s="42"/>
      <c r="G22" s="42"/>
    </row>
  </sheetData>
  <mergeCells count="8">
    <mergeCell ref="A21:C21"/>
    <mergeCell ref="E21:G21"/>
    <mergeCell ref="A22:C22"/>
    <mergeCell ref="E22:G22"/>
    <mergeCell ref="A1:G1"/>
    <mergeCell ref="D3:E3"/>
    <mergeCell ref="D4:E4"/>
    <mergeCell ref="D5:E5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selection activeCell="J15" sqref="J15"/>
    </sheetView>
  </sheetViews>
  <sheetFormatPr defaultColWidth="9" defaultRowHeight="13.5"/>
  <cols>
    <col min="1" max="1" width="17.375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130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31</v>
      </c>
      <c r="C3" s="10" t="s">
        <v>108</v>
      </c>
      <c r="D3" s="38" t="s">
        <v>32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33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B5-SUM(D8:D19)</f>
        <v>436800</v>
      </c>
      <c r="E5" s="41"/>
      <c r="F5" s="10" t="s">
        <v>116</v>
      </c>
      <c r="G5" s="15">
        <f ca="1">TODAY()</f>
        <v>46177</v>
      </c>
    </row>
    <row r="7" spans="1:7" ht="24.95" customHeight="1">
      <c r="A7" s="7" t="s">
        <v>117</v>
      </c>
      <c r="B7" s="7" t="s">
        <v>118</v>
      </c>
      <c r="C7" s="7" t="s">
        <v>119</v>
      </c>
      <c r="D7" s="7" t="s">
        <v>120</v>
      </c>
      <c r="E7" s="7" t="s">
        <v>121</v>
      </c>
      <c r="F7" s="7" t="s">
        <v>122</v>
      </c>
      <c r="G7" s="7" t="s">
        <v>123</v>
      </c>
    </row>
    <row r="8" spans="1:7" ht="24.95" customHeight="1">
      <c r="A8" s="58" t="s">
        <v>124</v>
      </c>
      <c r="B8" s="58" t="s">
        <v>125</v>
      </c>
      <c r="C8" s="59" t="str">
        <f>IF(D8="","",$B$5)</f>
        <v/>
      </c>
      <c r="D8" s="59"/>
      <c r="E8" s="59" t="str">
        <f t="shared" ref="E8:E19" si="0">IF(D8="","",C8-D8)</f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ref="C9:C19" si="1">IF(D9="","",E8)</f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19" spans="1:7" ht="24.95" customHeight="1">
      <c r="A19" s="58" t="s">
        <v>124</v>
      </c>
      <c r="B19" s="58" t="s">
        <v>125</v>
      </c>
      <c r="C19" s="59" t="str">
        <f t="shared" si="1"/>
        <v/>
      </c>
      <c r="D19" s="59"/>
      <c r="E19" s="59" t="str">
        <f t="shared" si="0"/>
        <v/>
      </c>
      <c r="F19" s="58" t="s">
        <v>126</v>
      </c>
      <c r="G19" s="58" t="s">
        <v>126</v>
      </c>
    </row>
    <row r="21" spans="1:7">
      <c r="A21" s="42" t="s">
        <v>127</v>
      </c>
      <c r="B21" s="42"/>
      <c r="C21" s="42"/>
      <c r="D21" s="17"/>
      <c r="E21" s="42" t="s">
        <v>128</v>
      </c>
      <c r="F21" s="42"/>
      <c r="G21" s="42"/>
    </row>
    <row r="22" spans="1:7">
      <c r="A22" s="42" t="s">
        <v>129</v>
      </c>
      <c r="B22" s="42"/>
      <c r="C22" s="42"/>
      <c r="D22" s="17"/>
      <c r="E22" s="42" t="s">
        <v>129</v>
      </c>
      <c r="F22" s="42"/>
      <c r="G22" s="42"/>
    </row>
  </sheetData>
  <mergeCells count="8">
    <mergeCell ref="A21:C21"/>
    <mergeCell ref="E21:G21"/>
    <mergeCell ref="A22:C22"/>
    <mergeCell ref="E22:G22"/>
    <mergeCell ref="A1:G1"/>
    <mergeCell ref="D3:E3"/>
    <mergeCell ref="D4:E4"/>
    <mergeCell ref="D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>
      <selection activeCell="O15" sqref="O15"/>
    </sheetView>
  </sheetViews>
  <sheetFormatPr defaultColWidth="9" defaultRowHeight="13.5"/>
  <cols>
    <col min="1" max="1" width="18.5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131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34</v>
      </c>
      <c r="C3" s="10" t="s">
        <v>108</v>
      </c>
      <c r="D3" s="38" t="s">
        <v>35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36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B5-SUM(D7:D18)</f>
        <v>436800</v>
      </c>
      <c r="E5" s="41"/>
      <c r="F5" s="10" t="s">
        <v>116</v>
      </c>
      <c r="G5" s="15">
        <f ca="1">TODAY()</f>
        <v>46177</v>
      </c>
    </row>
    <row r="6" spans="1:7" ht="24.95" customHeight="1">
      <c r="A6" s="16" t="s">
        <v>117</v>
      </c>
      <c r="B6" s="16" t="s">
        <v>118</v>
      </c>
      <c r="C6" s="16" t="s">
        <v>119</v>
      </c>
      <c r="D6" s="16" t="s">
        <v>120</v>
      </c>
      <c r="E6" s="16" t="s">
        <v>121</v>
      </c>
      <c r="F6" s="16" t="s">
        <v>122</v>
      </c>
      <c r="G6" s="16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19" spans="1:7">
      <c r="A19" s="1"/>
      <c r="B19" s="1"/>
      <c r="C19" s="1"/>
      <c r="D19" s="1"/>
      <c r="E19" s="1"/>
      <c r="F19" s="1"/>
      <c r="G19" s="1"/>
    </row>
    <row r="20" spans="1:7">
      <c r="A20" s="42" t="s">
        <v>127</v>
      </c>
      <c r="B20" s="42"/>
      <c r="C20" s="42"/>
      <c r="D20" s="17"/>
      <c r="E20" s="42" t="s">
        <v>128</v>
      </c>
      <c r="F20" s="42"/>
      <c r="G20" s="42"/>
    </row>
    <row r="21" spans="1:7">
      <c r="A21" s="42" t="s">
        <v>129</v>
      </c>
      <c r="B21" s="42"/>
      <c r="C21" s="42"/>
      <c r="D21" s="17"/>
      <c r="E21" s="42" t="s">
        <v>129</v>
      </c>
      <c r="F21" s="42"/>
      <c r="G21" s="4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>
      <selection activeCell="I7" sqref="I7"/>
    </sheetView>
  </sheetViews>
  <sheetFormatPr defaultColWidth="9" defaultRowHeight="13.5"/>
  <cols>
    <col min="1" max="1" width="17.125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132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37</v>
      </c>
      <c r="C3" s="10" t="s">
        <v>108</v>
      </c>
      <c r="D3" s="38" t="s">
        <v>38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39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B5-SUM(D7:D18)</f>
        <v>436800</v>
      </c>
      <c r="E5" s="41"/>
      <c r="F5" s="10" t="s">
        <v>116</v>
      </c>
      <c r="G5" s="15">
        <f ca="1">TODAY()</f>
        <v>46177</v>
      </c>
    </row>
    <row r="6" spans="1:7" ht="24.95" customHeight="1">
      <c r="A6" s="16" t="s">
        <v>117</v>
      </c>
      <c r="B6" s="16" t="s">
        <v>118</v>
      </c>
      <c r="C6" s="16" t="s">
        <v>119</v>
      </c>
      <c r="D6" s="16" t="s">
        <v>120</v>
      </c>
      <c r="E6" s="16" t="s">
        <v>121</v>
      </c>
      <c r="F6" s="16" t="s">
        <v>122</v>
      </c>
      <c r="G6" s="16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20" spans="1:7">
      <c r="A20" s="42" t="s">
        <v>127</v>
      </c>
      <c r="B20" s="42"/>
      <c r="C20" s="42"/>
      <c r="D20" s="17"/>
      <c r="E20" s="42" t="s">
        <v>128</v>
      </c>
      <c r="F20" s="42"/>
      <c r="G20" s="42"/>
    </row>
    <row r="21" spans="1:7">
      <c r="A21" s="42" t="s">
        <v>129</v>
      </c>
      <c r="B21" s="42"/>
      <c r="C21" s="42"/>
      <c r="D21" s="17"/>
      <c r="E21" s="42" t="s">
        <v>129</v>
      </c>
      <c r="F21" s="42"/>
      <c r="G21" s="4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>
      <selection activeCell="M14" sqref="M14"/>
    </sheetView>
  </sheetViews>
  <sheetFormatPr defaultColWidth="9" defaultRowHeight="13.5"/>
  <cols>
    <col min="1" max="1" width="17.625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133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40</v>
      </c>
      <c r="C3" s="10" t="s">
        <v>108</v>
      </c>
      <c r="D3" s="38" t="s">
        <v>41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42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B5-SUM(D7:D18)</f>
        <v>436800</v>
      </c>
      <c r="E5" s="41"/>
      <c r="F5" s="10" t="s">
        <v>116</v>
      </c>
      <c r="G5" s="15">
        <f ca="1">TODAY()</f>
        <v>46177</v>
      </c>
    </row>
    <row r="6" spans="1:7" ht="24.95" customHeight="1">
      <c r="A6" s="16" t="s">
        <v>117</v>
      </c>
      <c r="B6" s="16" t="s">
        <v>118</v>
      </c>
      <c r="C6" s="16" t="s">
        <v>119</v>
      </c>
      <c r="D6" s="16" t="s">
        <v>120</v>
      </c>
      <c r="E6" s="16" t="s">
        <v>121</v>
      </c>
      <c r="F6" s="16" t="s">
        <v>122</v>
      </c>
      <c r="G6" s="16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20" spans="1:7">
      <c r="A20" s="42" t="s">
        <v>127</v>
      </c>
      <c r="B20" s="42"/>
      <c r="C20" s="42"/>
      <c r="D20" s="17"/>
      <c r="E20" s="42" t="s">
        <v>128</v>
      </c>
      <c r="F20" s="42"/>
      <c r="G20" s="42"/>
    </row>
    <row r="21" spans="1:7">
      <c r="A21" s="42" t="s">
        <v>129</v>
      </c>
      <c r="B21" s="42"/>
      <c r="C21" s="42"/>
      <c r="D21" s="17"/>
      <c r="E21" s="42" t="s">
        <v>129</v>
      </c>
      <c r="F21" s="42"/>
      <c r="G21" s="4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"/>
  <sheetViews>
    <sheetView topLeftCell="A4" workbookViewId="0">
      <selection activeCell="J11" sqref="J11"/>
    </sheetView>
  </sheetViews>
  <sheetFormatPr defaultColWidth="9" defaultRowHeight="13.5"/>
  <cols>
    <col min="1" max="1" width="17.375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134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43</v>
      </c>
      <c r="C3" s="10" t="s">
        <v>108</v>
      </c>
      <c r="D3" s="38" t="s">
        <v>44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45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B5-SUM(D8:D19)</f>
        <v>436800</v>
      </c>
      <c r="E5" s="41"/>
      <c r="F5" s="10" t="s">
        <v>116</v>
      </c>
      <c r="G5" s="15">
        <f ca="1">TODAY()</f>
        <v>46177</v>
      </c>
    </row>
    <row r="7" spans="1:7" ht="24.95" customHeight="1">
      <c r="A7" s="16" t="s">
        <v>117</v>
      </c>
      <c r="B7" s="16" t="s">
        <v>118</v>
      </c>
      <c r="C7" s="16" t="s">
        <v>119</v>
      </c>
      <c r="D7" s="16" t="s">
        <v>120</v>
      </c>
      <c r="E7" s="16" t="s">
        <v>121</v>
      </c>
      <c r="F7" s="16" t="s">
        <v>122</v>
      </c>
      <c r="G7" s="16" t="s">
        <v>123</v>
      </c>
    </row>
    <row r="8" spans="1:7" ht="24.95" customHeight="1">
      <c r="A8" s="58" t="s">
        <v>124</v>
      </c>
      <c r="B8" s="58" t="s">
        <v>125</v>
      </c>
      <c r="C8" s="59" t="str">
        <f>IF(D8="","",$B$5)</f>
        <v/>
      </c>
      <c r="D8" s="59"/>
      <c r="E8" s="59" t="str">
        <f t="shared" ref="E8:E19" si="0">IF(D8="","",C8-D8)</f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ref="C9:C19" si="1">IF(D9="","",E8)</f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19" spans="1:7" ht="24.95" customHeight="1">
      <c r="A19" s="58" t="s">
        <v>124</v>
      </c>
      <c r="B19" s="58" t="s">
        <v>125</v>
      </c>
      <c r="C19" s="59" t="str">
        <f t="shared" si="1"/>
        <v/>
      </c>
      <c r="D19" s="59"/>
      <c r="E19" s="59" t="str">
        <f t="shared" si="0"/>
        <v/>
      </c>
      <c r="F19" s="58" t="s">
        <v>126</v>
      </c>
      <c r="G19" s="58" t="s">
        <v>126</v>
      </c>
    </row>
    <row r="21" spans="1:7">
      <c r="A21" s="42" t="s">
        <v>127</v>
      </c>
      <c r="B21" s="42"/>
      <c r="C21" s="42"/>
      <c r="D21" s="17"/>
      <c r="E21" s="42" t="s">
        <v>128</v>
      </c>
      <c r="F21" s="42"/>
      <c r="G21" s="42"/>
    </row>
    <row r="22" spans="1:7">
      <c r="A22" s="42" t="s">
        <v>129</v>
      </c>
      <c r="B22" s="42"/>
      <c r="C22" s="42"/>
      <c r="D22" s="17"/>
      <c r="E22" s="42" t="s">
        <v>129</v>
      </c>
      <c r="F22" s="42"/>
      <c r="G22" s="42"/>
    </row>
  </sheetData>
  <mergeCells count="8">
    <mergeCell ref="A21:C21"/>
    <mergeCell ref="E21:G21"/>
    <mergeCell ref="A22:C22"/>
    <mergeCell ref="E22:G22"/>
    <mergeCell ref="A1:G1"/>
    <mergeCell ref="D3:E3"/>
    <mergeCell ref="D4:E4"/>
    <mergeCell ref="D5:E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>
      <selection activeCell="L12" sqref="L12"/>
    </sheetView>
  </sheetViews>
  <sheetFormatPr defaultColWidth="9" defaultRowHeight="13.5"/>
  <cols>
    <col min="1" max="1" width="17.75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135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46</v>
      </c>
      <c r="C3" s="10" t="s">
        <v>108</v>
      </c>
      <c r="D3" s="38" t="s">
        <v>47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48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B5-SUM(D8:D19)</f>
        <v>436800</v>
      </c>
      <c r="E5" s="41"/>
      <c r="F5" s="10" t="s">
        <v>116</v>
      </c>
      <c r="G5" s="15">
        <f ca="1">TODAY()</f>
        <v>46177</v>
      </c>
    </row>
    <row r="7" spans="1:7" ht="24.95" customHeight="1">
      <c r="A7" s="16" t="s">
        <v>117</v>
      </c>
      <c r="B7" s="16" t="s">
        <v>118</v>
      </c>
      <c r="C7" s="16" t="s">
        <v>119</v>
      </c>
      <c r="D7" s="16" t="s">
        <v>120</v>
      </c>
      <c r="E7" s="16" t="s">
        <v>121</v>
      </c>
      <c r="F7" s="16" t="s">
        <v>122</v>
      </c>
      <c r="G7" s="16" t="s">
        <v>123</v>
      </c>
    </row>
    <row r="8" spans="1:7" ht="24.95" customHeight="1">
      <c r="A8" s="58" t="s">
        <v>124</v>
      </c>
      <c r="B8" s="58" t="s">
        <v>125</v>
      </c>
      <c r="C8" s="59" t="str">
        <f>IF(D8="","",$B$5)</f>
        <v/>
      </c>
      <c r="D8" s="59"/>
      <c r="E8" s="59" t="str">
        <f t="shared" ref="E8:E19" si="0">IF(D8="","",C8-D8)</f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ref="C9:C19" si="1">IF(D9="","",E8)</f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19" spans="1:7" ht="24.95" customHeight="1">
      <c r="A19" s="58" t="s">
        <v>124</v>
      </c>
      <c r="B19" s="58" t="s">
        <v>125</v>
      </c>
      <c r="C19" s="59" t="str">
        <f t="shared" si="1"/>
        <v/>
      </c>
      <c r="D19" s="59"/>
      <c r="E19" s="59" t="str">
        <f t="shared" si="0"/>
        <v/>
      </c>
      <c r="F19" s="58" t="s">
        <v>126</v>
      </c>
      <c r="G19" s="58" t="s">
        <v>126</v>
      </c>
    </row>
    <row r="21" spans="1:7">
      <c r="A21" s="42" t="s">
        <v>127</v>
      </c>
      <c r="B21" s="42"/>
      <c r="C21" s="42"/>
      <c r="D21" s="17"/>
      <c r="E21" s="42" t="s">
        <v>128</v>
      </c>
      <c r="F21" s="42"/>
      <c r="G21" s="42"/>
    </row>
    <row r="22" spans="1:7">
      <c r="A22" s="42" t="s">
        <v>129</v>
      </c>
      <c r="B22" s="42"/>
      <c r="C22" s="42"/>
      <c r="D22" s="17"/>
      <c r="E22" s="42" t="s">
        <v>129</v>
      </c>
      <c r="F22" s="42"/>
      <c r="G22" s="42"/>
    </row>
  </sheetData>
  <mergeCells count="8">
    <mergeCell ref="A21:C21"/>
    <mergeCell ref="E21:G21"/>
    <mergeCell ref="A22:C22"/>
    <mergeCell ref="E22:G22"/>
    <mergeCell ref="A1:G1"/>
    <mergeCell ref="D3:E3"/>
    <mergeCell ref="D4:E4"/>
    <mergeCell ref="D5:E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1"/>
  <sheetViews>
    <sheetView workbookViewId="0">
      <selection activeCell="E21" sqref="E21:G21"/>
    </sheetView>
  </sheetViews>
  <sheetFormatPr defaultColWidth="9" defaultRowHeight="13.5"/>
  <cols>
    <col min="1" max="1" width="16.875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136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49</v>
      </c>
      <c r="C3" s="10" t="s">
        <v>108</v>
      </c>
      <c r="D3" s="38" t="s">
        <v>50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51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B5-SUM(D7:D18)</f>
        <v>436800</v>
      </c>
      <c r="E5" s="41"/>
      <c r="F5" s="10" t="s">
        <v>116</v>
      </c>
      <c r="G5" s="15">
        <f ca="1">TODAY()</f>
        <v>46177</v>
      </c>
    </row>
    <row r="6" spans="1:7" ht="24.95" customHeight="1">
      <c r="A6" s="16" t="s">
        <v>117</v>
      </c>
      <c r="B6" s="16" t="s">
        <v>118</v>
      </c>
      <c r="C6" s="16" t="s">
        <v>119</v>
      </c>
      <c r="D6" s="16" t="s">
        <v>120</v>
      </c>
      <c r="E6" s="16" t="s">
        <v>121</v>
      </c>
      <c r="F6" s="16" t="s">
        <v>122</v>
      </c>
      <c r="G6" s="16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20" spans="1:7">
      <c r="A20" s="42" t="s">
        <v>127</v>
      </c>
      <c r="B20" s="42"/>
      <c r="C20" s="42"/>
      <c r="D20" s="17"/>
      <c r="E20" s="42" t="s">
        <v>128</v>
      </c>
      <c r="F20" s="42"/>
      <c r="G20" s="42"/>
    </row>
    <row r="21" spans="1:7">
      <c r="A21" s="42" t="s">
        <v>129</v>
      </c>
      <c r="B21" s="42"/>
      <c r="C21" s="42"/>
      <c r="D21" s="17"/>
      <c r="E21" s="42" t="s">
        <v>129</v>
      </c>
      <c r="F21" s="42"/>
      <c r="G21" s="4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workbookViewId="0">
      <selection activeCell="I19" sqref="I19"/>
    </sheetView>
  </sheetViews>
  <sheetFormatPr defaultColWidth="9" defaultRowHeight="13.5"/>
  <cols>
    <col min="1" max="1" width="17.375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137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52</v>
      </c>
      <c r="C3" s="10" t="s">
        <v>108</v>
      </c>
      <c r="D3" s="38" t="s">
        <v>53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54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B5-SUM(D7:D18)</f>
        <v>436800</v>
      </c>
      <c r="E5" s="41"/>
      <c r="F5" s="10" t="s">
        <v>116</v>
      </c>
      <c r="G5" s="15">
        <f ca="1">TODAY()</f>
        <v>46177</v>
      </c>
    </row>
    <row r="6" spans="1:7" ht="24.95" customHeight="1">
      <c r="A6" s="16" t="s">
        <v>117</v>
      </c>
      <c r="B6" s="16" t="s">
        <v>118</v>
      </c>
      <c r="C6" s="16" t="s">
        <v>119</v>
      </c>
      <c r="D6" s="16" t="s">
        <v>120</v>
      </c>
      <c r="E6" s="16" t="s">
        <v>121</v>
      </c>
      <c r="F6" s="16" t="s">
        <v>122</v>
      </c>
      <c r="G6" s="16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20" spans="1:7">
      <c r="A20" s="42" t="s">
        <v>127</v>
      </c>
      <c r="B20" s="42"/>
      <c r="C20" s="42"/>
      <c r="D20" s="17"/>
      <c r="E20" s="42" t="s">
        <v>128</v>
      </c>
      <c r="F20" s="42"/>
      <c r="G20" s="42"/>
    </row>
    <row r="21" spans="1:7">
      <c r="A21" s="42" t="s">
        <v>129</v>
      </c>
      <c r="B21" s="42"/>
      <c r="C21" s="42"/>
      <c r="D21" s="17"/>
      <c r="E21" s="42" t="s">
        <v>129</v>
      </c>
      <c r="F21" s="42"/>
      <c r="G21" s="4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1"/>
  <sheetViews>
    <sheetView workbookViewId="0">
      <selection activeCell="A7" sqref="A7:G18"/>
    </sheetView>
  </sheetViews>
  <sheetFormatPr defaultColWidth="9" defaultRowHeight="13.5"/>
  <cols>
    <col min="1" max="1" width="16.875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138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55</v>
      </c>
      <c r="C3" s="10" t="s">
        <v>108</v>
      </c>
      <c r="D3" s="38" t="s">
        <v>56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57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B5-SUM(D7:D18)</f>
        <v>436800</v>
      </c>
      <c r="E5" s="41"/>
      <c r="F5" s="10" t="s">
        <v>116</v>
      </c>
      <c r="G5" s="15">
        <f ca="1">TODAY()</f>
        <v>46177</v>
      </c>
    </row>
    <row r="6" spans="1:7" ht="24.95" customHeight="1">
      <c r="A6" s="16" t="s">
        <v>117</v>
      </c>
      <c r="B6" s="16" t="s">
        <v>118</v>
      </c>
      <c r="C6" s="16" t="s">
        <v>119</v>
      </c>
      <c r="D6" s="16" t="s">
        <v>120</v>
      </c>
      <c r="E6" s="16" t="s">
        <v>121</v>
      </c>
      <c r="F6" s="16" t="s">
        <v>122</v>
      </c>
      <c r="G6" s="16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20" spans="1:7">
      <c r="A20" s="42" t="s">
        <v>127</v>
      </c>
      <c r="B20" s="42"/>
      <c r="C20" s="42"/>
      <c r="D20" s="17"/>
      <c r="E20" s="42" t="s">
        <v>128</v>
      </c>
      <c r="F20" s="42"/>
      <c r="G20" s="42"/>
    </row>
    <row r="21" spans="1:7">
      <c r="A21" s="42" t="s">
        <v>129</v>
      </c>
      <c r="B21" s="42"/>
      <c r="C21" s="42"/>
      <c r="D21" s="17"/>
      <c r="E21" s="42" t="s">
        <v>129</v>
      </c>
      <c r="F21" s="42"/>
      <c r="G21" s="4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1"/>
  <sheetViews>
    <sheetView workbookViewId="0">
      <selection activeCell="A7" sqref="A7:G18"/>
    </sheetView>
  </sheetViews>
  <sheetFormatPr defaultColWidth="9" defaultRowHeight="13.5"/>
  <cols>
    <col min="1" max="1" width="17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139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58</v>
      </c>
      <c r="C3" s="10" t="s">
        <v>108</v>
      </c>
      <c r="D3" s="38" t="s">
        <v>59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60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B5-SUM(D7:D18)</f>
        <v>436800</v>
      </c>
      <c r="E5" s="41"/>
      <c r="F5" s="10" t="s">
        <v>116</v>
      </c>
      <c r="G5" s="15">
        <f ca="1">TODAY()</f>
        <v>46177</v>
      </c>
    </row>
    <row r="6" spans="1:7" ht="24.95" customHeight="1">
      <c r="A6" s="16" t="s">
        <v>117</v>
      </c>
      <c r="B6" s="16" t="s">
        <v>118</v>
      </c>
      <c r="C6" s="16" t="s">
        <v>119</v>
      </c>
      <c r="D6" s="16" t="s">
        <v>120</v>
      </c>
      <c r="E6" s="16" t="s">
        <v>121</v>
      </c>
      <c r="F6" s="16" t="s">
        <v>122</v>
      </c>
      <c r="G6" s="16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20" spans="1:7">
      <c r="A20" s="42" t="s">
        <v>127</v>
      </c>
      <c r="B20" s="42"/>
      <c r="C20" s="42"/>
      <c r="D20" s="17"/>
      <c r="E20" s="42" t="s">
        <v>128</v>
      </c>
      <c r="F20" s="42"/>
      <c r="G20" s="42"/>
    </row>
    <row r="21" spans="1:7">
      <c r="A21" s="42" t="s">
        <v>129</v>
      </c>
      <c r="B21" s="42"/>
      <c r="C21" s="42"/>
      <c r="D21" s="17"/>
      <c r="E21" s="42" t="s">
        <v>129</v>
      </c>
      <c r="F21" s="42"/>
      <c r="G21" s="4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workbookViewId="0">
      <selection activeCell="A7" sqref="A7:G18"/>
    </sheetView>
  </sheetViews>
  <sheetFormatPr defaultColWidth="9" defaultRowHeight="13.5"/>
  <cols>
    <col min="1" max="1" width="17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140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61</v>
      </c>
      <c r="C3" s="10" t="s">
        <v>108</v>
      </c>
      <c r="D3" s="38" t="s">
        <v>62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63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B5-SUM(D7:D18)</f>
        <v>436800</v>
      </c>
      <c r="E5" s="41"/>
      <c r="F5" s="10" t="s">
        <v>116</v>
      </c>
      <c r="G5" s="15">
        <f ca="1">TODAY()</f>
        <v>46177</v>
      </c>
    </row>
    <row r="6" spans="1:7" ht="24.95" customHeight="1">
      <c r="A6" s="16" t="s">
        <v>117</v>
      </c>
      <c r="B6" s="16" t="s">
        <v>118</v>
      </c>
      <c r="C6" s="16" t="s">
        <v>119</v>
      </c>
      <c r="D6" s="16" t="s">
        <v>120</v>
      </c>
      <c r="E6" s="16" t="s">
        <v>121</v>
      </c>
      <c r="F6" s="16" t="s">
        <v>122</v>
      </c>
      <c r="G6" s="16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20" spans="1:7">
      <c r="A20" s="42" t="s">
        <v>127</v>
      </c>
      <c r="B20" s="42"/>
      <c r="C20" s="42"/>
      <c r="D20" s="17"/>
      <c r="E20" s="42" t="s">
        <v>128</v>
      </c>
      <c r="F20" s="42"/>
      <c r="G20" s="42"/>
    </row>
    <row r="21" spans="1:7">
      <c r="A21" s="42" t="s">
        <v>129</v>
      </c>
      <c r="B21" s="42"/>
      <c r="C21" s="42"/>
      <c r="D21" s="17"/>
      <c r="E21" s="42" t="s">
        <v>129</v>
      </c>
      <c r="F21" s="42"/>
      <c r="G21" s="4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1"/>
  <sheetViews>
    <sheetView workbookViewId="0">
      <selection activeCell="A7" sqref="A7:G18"/>
    </sheetView>
  </sheetViews>
  <sheetFormatPr defaultColWidth="9" defaultRowHeight="13.5"/>
  <cols>
    <col min="1" max="1" width="17.375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141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64</v>
      </c>
      <c r="C3" s="10" t="s">
        <v>108</v>
      </c>
      <c r="D3" s="38" t="s">
        <v>65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110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B5-SUM(D7:D18)</f>
        <v>436800</v>
      </c>
      <c r="E5" s="41"/>
      <c r="F5" s="10" t="s">
        <v>116</v>
      </c>
      <c r="G5" s="15">
        <f ca="1">TODAY()</f>
        <v>46177</v>
      </c>
    </row>
    <row r="6" spans="1:7" ht="24.95" customHeight="1">
      <c r="A6" s="16" t="s">
        <v>117</v>
      </c>
      <c r="B6" s="16" t="s">
        <v>118</v>
      </c>
      <c r="C6" s="16" t="s">
        <v>119</v>
      </c>
      <c r="D6" s="16" t="s">
        <v>120</v>
      </c>
      <c r="E6" s="16" t="s">
        <v>121</v>
      </c>
      <c r="F6" s="16" t="s">
        <v>122</v>
      </c>
      <c r="G6" s="16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20" spans="1:7">
      <c r="A20" s="42" t="s">
        <v>127</v>
      </c>
      <c r="B20" s="42"/>
      <c r="C20" s="42"/>
      <c r="D20" s="17"/>
      <c r="E20" s="42" t="s">
        <v>128</v>
      </c>
      <c r="F20" s="42"/>
      <c r="G20" s="42"/>
    </row>
    <row r="21" spans="1:7">
      <c r="A21" s="42" t="s">
        <v>129</v>
      </c>
      <c r="B21" s="42"/>
      <c r="C21" s="42"/>
      <c r="D21" s="17"/>
      <c r="E21" s="42" t="s">
        <v>129</v>
      </c>
      <c r="F21" s="42"/>
      <c r="G21" s="4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1"/>
  <sheetViews>
    <sheetView workbookViewId="0">
      <selection activeCell="K16" sqref="K16"/>
    </sheetView>
  </sheetViews>
  <sheetFormatPr defaultColWidth="9" defaultRowHeight="13.5"/>
  <cols>
    <col min="1" max="1" width="17.75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142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66</v>
      </c>
      <c r="C3" s="10" t="s">
        <v>108</v>
      </c>
      <c r="D3" s="38" t="s">
        <v>67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68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B5-SUM(D7:D18)</f>
        <v>436800</v>
      </c>
      <c r="E5" s="41"/>
      <c r="F5" s="10" t="s">
        <v>116</v>
      </c>
      <c r="G5" s="15">
        <f ca="1">TODAY()</f>
        <v>46177</v>
      </c>
    </row>
    <row r="6" spans="1:7" ht="24.95" customHeight="1">
      <c r="A6" s="16" t="s">
        <v>117</v>
      </c>
      <c r="B6" s="16" t="s">
        <v>118</v>
      </c>
      <c r="C6" s="16" t="s">
        <v>119</v>
      </c>
      <c r="D6" s="16" t="s">
        <v>120</v>
      </c>
      <c r="E6" s="16" t="s">
        <v>121</v>
      </c>
      <c r="F6" s="16" t="s">
        <v>122</v>
      </c>
      <c r="G6" s="16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20" spans="1:7">
      <c r="A20" s="42" t="s">
        <v>127</v>
      </c>
      <c r="B20" s="42"/>
      <c r="C20" s="42"/>
      <c r="D20" s="17"/>
      <c r="E20" s="42" t="s">
        <v>128</v>
      </c>
      <c r="F20" s="42"/>
      <c r="G20" s="42"/>
    </row>
    <row r="21" spans="1:7">
      <c r="A21" s="42" t="s">
        <v>129</v>
      </c>
      <c r="B21" s="42"/>
      <c r="C21" s="42"/>
      <c r="D21" s="17"/>
      <c r="E21" s="42" t="s">
        <v>129</v>
      </c>
      <c r="F21" s="42"/>
      <c r="G21" s="4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1"/>
  <sheetViews>
    <sheetView topLeftCell="A4" workbookViewId="0">
      <selection activeCell="A7" sqref="A7:G18"/>
    </sheetView>
  </sheetViews>
  <sheetFormatPr defaultColWidth="9" defaultRowHeight="13.5"/>
  <cols>
    <col min="1" max="1" width="17.375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143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69</v>
      </c>
      <c r="C3" s="10" t="s">
        <v>108</v>
      </c>
      <c r="D3" s="38" t="s">
        <v>70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110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B5-SUM(D7:D18)</f>
        <v>436800</v>
      </c>
      <c r="E5" s="41"/>
      <c r="F5" s="10" t="s">
        <v>116</v>
      </c>
      <c r="G5" s="15">
        <f ca="1">TODAY()</f>
        <v>46177</v>
      </c>
    </row>
    <row r="6" spans="1:7" ht="24.95" customHeight="1">
      <c r="A6" s="16" t="s">
        <v>117</v>
      </c>
      <c r="B6" s="16" t="s">
        <v>118</v>
      </c>
      <c r="C6" s="16" t="s">
        <v>119</v>
      </c>
      <c r="D6" s="16" t="s">
        <v>120</v>
      </c>
      <c r="E6" s="16" t="s">
        <v>121</v>
      </c>
      <c r="F6" s="16" t="s">
        <v>122</v>
      </c>
      <c r="G6" s="16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20" spans="1:7">
      <c r="A20" s="42" t="s">
        <v>127</v>
      </c>
      <c r="B20" s="42"/>
      <c r="C20" s="42"/>
      <c r="D20" s="17"/>
      <c r="E20" s="42" t="s">
        <v>128</v>
      </c>
      <c r="F20" s="42"/>
      <c r="G20" s="42"/>
    </row>
    <row r="21" spans="1:7">
      <c r="A21" s="42" t="s">
        <v>129</v>
      </c>
      <c r="B21" s="42"/>
      <c r="C21" s="42"/>
      <c r="D21" s="17"/>
      <c r="E21" s="42" t="s">
        <v>129</v>
      </c>
      <c r="F21" s="42"/>
      <c r="G21" s="4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1"/>
  <sheetViews>
    <sheetView workbookViewId="0">
      <selection activeCell="A7" sqref="A7:G18"/>
    </sheetView>
  </sheetViews>
  <sheetFormatPr defaultColWidth="9" defaultRowHeight="13.5"/>
  <cols>
    <col min="1" max="1" width="17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144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71</v>
      </c>
      <c r="C3" s="10" t="s">
        <v>108</v>
      </c>
      <c r="D3" s="38" t="s">
        <v>72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73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B5-SUM(D7:D18)</f>
        <v>436800</v>
      </c>
      <c r="E5" s="41"/>
      <c r="F5" s="10" t="s">
        <v>116</v>
      </c>
      <c r="G5" s="15">
        <f ca="1">TODAY()</f>
        <v>46177</v>
      </c>
    </row>
    <row r="6" spans="1:7" ht="24.95" customHeight="1">
      <c r="A6" s="16" t="s">
        <v>117</v>
      </c>
      <c r="B6" s="16" t="s">
        <v>118</v>
      </c>
      <c r="C6" s="16" t="s">
        <v>119</v>
      </c>
      <c r="D6" s="16" t="s">
        <v>120</v>
      </c>
      <c r="E6" s="16" t="s">
        <v>121</v>
      </c>
      <c r="F6" s="16" t="s">
        <v>122</v>
      </c>
      <c r="G6" s="16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20" spans="1:7">
      <c r="A20" s="42" t="s">
        <v>127</v>
      </c>
      <c r="B20" s="42"/>
      <c r="C20" s="42"/>
      <c r="D20" s="17"/>
      <c r="E20" s="42" t="s">
        <v>128</v>
      </c>
      <c r="F20" s="42"/>
      <c r="G20" s="42"/>
    </row>
    <row r="21" spans="1:7">
      <c r="A21" s="42" t="s">
        <v>129</v>
      </c>
      <c r="B21" s="42"/>
      <c r="C21" s="42"/>
      <c r="D21" s="17"/>
      <c r="E21" s="42" t="s">
        <v>129</v>
      </c>
      <c r="F21" s="42"/>
      <c r="G21" s="4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1"/>
  <sheetViews>
    <sheetView workbookViewId="0">
      <selection activeCell="A7" sqref="A7:G18"/>
    </sheetView>
  </sheetViews>
  <sheetFormatPr defaultColWidth="9" defaultRowHeight="13.5"/>
  <cols>
    <col min="1" max="1" width="17.625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145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74</v>
      </c>
      <c r="C3" s="10" t="s">
        <v>108</v>
      </c>
      <c r="D3" s="38" t="s">
        <v>75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76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B5-SUM(D7:D18)</f>
        <v>436800</v>
      </c>
      <c r="E5" s="41"/>
      <c r="F5" s="10" t="s">
        <v>116</v>
      </c>
      <c r="G5" s="15">
        <f ca="1">TODAY()</f>
        <v>46177</v>
      </c>
    </row>
    <row r="6" spans="1:7" ht="24.95" customHeight="1">
      <c r="A6" s="16" t="s">
        <v>117</v>
      </c>
      <c r="B6" s="16" t="s">
        <v>118</v>
      </c>
      <c r="C6" s="16" t="s">
        <v>119</v>
      </c>
      <c r="D6" s="16" t="s">
        <v>120</v>
      </c>
      <c r="E6" s="16" t="s">
        <v>121</v>
      </c>
      <c r="F6" s="16" t="s">
        <v>122</v>
      </c>
      <c r="G6" s="16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20" spans="1:7">
      <c r="A20" s="42" t="s">
        <v>127</v>
      </c>
      <c r="B20" s="42"/>
      <c r="C20" s="42"/>
      <c r="D20" s="17"/>
      <c r="E20" s="42" t="s">
        <v>128</v>
      </c>
      <c r="F20" s="42"/>
      <c r="G20" s="42"/>
    </row>
    <row r="21" spans="1:7">
      <c r="A21" s="42" t="s">
        <v>129</v>
      </c>
      <c r="B21" s="42"/>
      <c r="C21" s="42"/>
      <c r="D21" s="17"/>
      <c r="E21" s="42" t="s">
        <v>129</v>
      </c>
      <c r="F21" s="42"/>
      <c r="G21" s="4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1"/>
  <sheetViews>
    <sheetView topLeftCell="A4" workbookViewId="0">
      <selection activeCell="F26" sqref="F26:F27"/>
    </sheetView>
  </sheetViews>
  <sheetFormatPr defaultColWidth="9" defaultRowHeight="13.5"/>
  <cols>
    <col min="1" max="1" width="17.625" customWidth="1"/>
    <col min="2" max="3" width="18" customWidth="1"/>
    <col min="4" max="4" width="16" customWidth="1"/>
    <col min="5" max="5" width="18" customWidth="1"/>
    <col min="6" max="7" width="22" customWidth="1"/>
  </cols>
  <sheetData>
    <row r="1" spans="1:7" ht="30" customHeight="1">
      <c r="A1" s="37" t="s">
        <v>146</v>
      </c>
      <c r="B1" s="37"/>
      <c r="C1" s="37"/>
      <c r="D1" s="37"/>
      <c r="E1" s="37"/>
      <c r="F1" s="37"/>
      <c r="G1" s="37"/>
    </row>
    <row r="3" spans="1:7" ht="24" customHeight="1">
      <c r="A3" s="10" t="s">
        <v>107</v>
      </c>
      <c r="B3" s="11" t="s">
        <v>77</v>
      </c>
      <c r="C3" s="10" t="s">
        <v>108</v>
      </c>
      <c r="D3" s="38" t="s">
        <v>78</v>
      </c>
      <c r="E3" s="38"/>
      <c r="F3" s="10" t="s">
        <v>109</v>
      </c>
      <c r="G3" s="11" t="s">
        <v>110</v>
      </c>
    </row>
    <row r="4" spans="1:7" ht="24" customHeight="1">
      <c r="A4" s="10" t="s">
        <v>111</v>
      </c>
      <c r="B4" s="11" t="s">
        <v>110</v>
      </c>
      <c r="C4" s="10" t="s">
        <v>112</v>
      </c>
      <c r="D4" s="39" t="s">
        <v>79</v>
      </c>
      <c r="E4" s="39"/>
      <c r="F4" s="10" t="s">
        <v>113</v>
      </c>
      <c r="G4" s="11" t="s">
        <v>30</v>
      </c>
    </row>
    <row r="5" spans="1:7" ht="24" customHeight="1">
      <c r="A5" s="10" t="s">
        <v>114</v>
      </c>
      <c r="B5" s="12">
        <v>436800</v>
      </c>
      <c r="C5" s="13" t="s">
        <v>115</v>
      </c>
      <c r="D5" s="40">
        <f>B5-SUM(D7:D18)</f>
        <v>436800</v>
      </c>
      <c r="E5" s="41"/>
      <c r="F5" s="10" t="s">
        <v>116</v>
      </c>
      <c r="G5" s="15">
        <f ca="1">TODAY()</f>
        <v>46177</v>
      </c>
    </row>
    <row r="6" spans="1:7" ht="24.95" customHeight="1">
      <c r="A6" s="16" t="s">
        <v>117</v>
      </c>
      <c r="B6" s="16" t="s">
        <v>118</v>
      </c>
      <c r="C6" s="16" t="s">
        <v>119</v>
      </c>
      <c r="D6" s="16" t="s">
        <v>120</v>
      </c>
      <c r="E6" s="16" t="s">
        <v>121</v>
      </c>
      <c r="F6" s="16" t="s">
        <v>122</v>
      </c>
      <c r="G6" s="16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20" spans="1:7">
      <c r="A20" s="42" t="s">
        <v>127</v>
      </c>
      <c r="B20" s="42"/>
      <c r="C20" s="42"/>
      <c r="D20" s="17"/>
      <c r="E20" s="42" t="s">
        <v>128</v>
      </c>
      <c r="F20" s="42"/>
      <c r="G20" s="42"/>
    </row>
    <row r="21" spans="1:7">
      <c r="A21" s="42" t="s">
        <v>129</v>
      </c>
      <c r="B21" s="42"/>
      <c r="C21" s="42"/>
      <c r="D21" s="17"/>
      <c r="E21" s="42" t="s">
        <v>129</v>
      </c>
      <c r="F21" s="42"/>
      <c r="G21" s="4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1"/>
  <sheetViews>
    <sheetView workbookViewId="0">
      <selection activeCell="F7" sqref="F7"/>
    </sheetView>
  </sheetViews>
  <sheetFormatPr defaultColWidth="9" defaultRowHeight="13.5"/>
  <cols>
    <col min="1" max="1" width="17.875" customWidth="1"/>
    <col min="2" max="3" width="18" customWidth="1"/>
    <col min="4" max="4" width="16" customWidth="1"/>
    <col min="5" max="5" width="18" customWidth="1"/>
    <col min="6" max="6" width="18.75" customWidth="1"/>
    <col min="7" max="7" width="22" customWidth="1"/>
  </cols>
  <sheetData>
    <row r="1" spans="1:7" ht="30" customHeight="1">
      <c r="A1" s="53" t="s">
        <v>147</v>
      </c>
      <c r="B1" s="53"/>
      <c r="C1" s="53"/>
      <c r="D1" s="53"/>
      <c r="E1" s="53"/>
      <c r="F1" s="53"/>
      <c r="G1" s="53"/>
    </row>
    <row r="2" spans="1:7">
      <c r="A2" s="1"/>
      <c r="B2" s="1"/>
      <c r="C2" s="1"/>
      <c r="D2" s="1"/>
      <c r="E2" s="1"/>
      <c r="F2" s="1"/>
      <c r="G2" s="1"/>
    </row>
    <row r="3" spans="1:7" ht="24" customHeight="1">
      <c r="A3" s="2" t="s">
        <v>107</v>
      </c>
      <c r="B3" s="3" t="s">
        <v>80</v>
      </c>
      <c r="C3" s="2" t="s">
        <v>108</v>
      </c>
      <c r="D3" s="54" t="s">
        <v>81</v>
      </c>
      <c r="E3" s="54"/>
      <c r="F3" s="2" t="s">
        <v>109</v>
      </c>
      <c r="G3" s="3"/>
    </row>
    <row r="4" spans="1:7" ht="24" customHeight="1">
      <c r="A4" s="2" t="s">
        <v>111</v>
      </c>
      <c r="B4" s="3" t="s">
        <v>110</v>
      </c>
      <c r="C4" s="2" t="s">
        <v>112</v>
      </c>
      <c r="D4" s="55" t="s">
        <v>82</v>
      </c>
      <c r="E4" s="55"/>
      <c r="F4" s="2" t="s">
        <v>113</v>
      </c>
      <c r="G4" s="3" t="s">
        <v>30</v>
      </c>
    </row>
    <row r="5" spans="1:7" ht="24" customHeight="1">
      <c r="A5" s="2" t="s">
        <v>114</v>
      </c>
      <c r="B5" s="4">
        <v>436800</v>
      </c>
      <c r="C5" s="5" t="s">
        <v>115</v>
      </c>
      <c r="D5" s="56">
        <f>B5-SUM(D7:D18)</f>
        <v>436800</v>
      </c>
      <c r="E5" s="57"/>
      <c r="F5" s="2" t="s">
        <v>116</v>
      </c>
      <c r="G5" s="6">
        <f ca="1">TODAY()</f>
        <v>46177</v>
      </c>
    </row>
    <row r="6" spans="1:7" ht="24.95" customHeight="1">
      <c r="A6" s="60" t="s">
        <v>117</v>
      </c>
      <c r="B6" s="60" t="s">
        <v>118</v>
      </c>
      <c r="C6" s="60" t="s">
        <v>119</v>
      </c>
      <c r="D6" s="60" t="s">
        <v>120</v>
      </c>
      <c r="E6" s="60" t="s">
        <v>121</v>
      </c>
      <c r="F6" s="60" t="s">
        <v>122</v>
      </c>
      <c r="G6" s="60" t="s">
        <v>123</v>
      </c>
    </row>
    <row r="7" spans="1:7" ht="24.95" customHeight="1">
      <c r="A7" s="58" t="s">
        <v>124</v>
      </c>
      <c r="B7" s="58" t="s">
        <v>125</v>
      </c>
      <c r="C7" s="59" t="str">
        <f>IF(D7="","",$B$5)</f>
        <v/>
      </c>
      <c r="D7" s="59"/>
      <c r="E7" s="59" t="str">
        <f t="shared" ref="E7:E18" si="0">IF(D7="","",C7-D7)</f>
        <v/>
      </c>
      <c r="F7" s="58" t="s">
        <v>126</v>
      </c>
      <c r="G7" s="58" t="s">
        <v>126</v>
      </c>
    </row>
    <row r="8" spans="1:7" ht="24.95" customHeight="1">
      <c r="A8" s="58" t="s">
        <v>124</v>
      </c>
      <c r="B8" s="58" t="s">
        <v>125</v>
      </c>
      <c r="C8" s="59" t="str">
        <f t="shared" ref="C8:C18" si="1">IF(D8="","",E7)</f>
        <v/>
      </c>
      <c r="D8" s="59"/>
      <c r="E8" s="59" t="str">
        <f t="shared" si="0"/>
        <v/>
      </c>
      <c r="F8" s="58" t="s">
        <v>126</v>
      </c>
      <c r="G8" s="58" t="s">
        <v>126</v>
      </c>
    </row>
    <row r="9" spans="1:7" ht="24.95" customHeight="1">
      <c r="A9" s="58" t="s">
        <v>124</v>
      </c>
      <c r="B9" s="58" t="s">
        <v>125</v>
      </c>
      <c r="C9" s="59" t="str">
        <f t="shared" si="1"/>
        <v/>
      </c>
      <c r="D9" s="59"/>
      <c r="E9" s="59" t="str">
        <f t="shared" si="0"/>
        <v/>
      </c>
      <c r="F9" s="58" t="s">
        <v>126</v>
      </c>
      <c r="G9" s="58" t="s">
        <v>126</v>
      </c>
    </row>
    <row r="10" spans="1:7" ht="24.95" customHeight="1">
      <c r="A10" s="58" t="s">
        <v>124</v>
      </c>
      <c r="B10" s="58" t="s">
        <v>125</v>
      </c>
      <c r="C10" s="59" t="str">
        <f t="shared" si="1"/>
        <v/>
      </c>
      <c r="D10" s="59"/>
      <c r="E10" s="59" t="str">
        <f t="shared" si="0"/>
        <v/>
      </c>
      <c r="F10" s="58" t="s">
        <v>126</v>
      </c>
      <c r="G10" s="58" t="s">
        <v>126</v>
      </c>
    </row>
    <row r="11" spans="1:7" ht="24.95" customHeight="1">
      <c r="A11" s="58" t="s">
        <v>124</v>
      </c>
      <c r="B11" s="58" t="s">
        <v>125</v>
      </c>
      <c r="C11" s="59" t="str">
        <f t="shared" si="1"/>
        <v/>
      </c>
      <c r="D11" s="59"/>
      <c r="E11" s="59" t="str">
        <f t="shared" si="0"/>
        <v/>
      </c>
      <c r="F11" s="58" t="s">
        <v>126</v>
      </c>
      <c r="G11" s="58" t="s">
        <v>126</v>
      </c>
    </row>
    <row r="12" spans="1:7" ht="24.95" customHeight="1">
      <c r="A12" s="58" t="s">
        <v>124</v>
      </c>
      <c r="B12" s="58" t="s">
        <v>125</v>
      </c>
      <c r="C12" s="59" t="str">
        <f t="shared" si="1"/>
        <v/>
      </c>
      <c r="D12" s="59"/>
      <c r="E12" s="59" t="str">
        <f t="shared" si="0"/>
        <v/>
      </c>
      <c r="F12" s="58" t="s">
        <v>126</v>
      </c>
      <c r="G12" s="58" t="s">
        <v>126</v>
      </c>
    </row>
    <row r="13" spans="1:7" ht="24.95" customHeight="1">
      <c r="A13" s="58" t="s">
        <v>124</v>
      </c>
      <c r="B13" s="58" t="s">
        <v>125</v>
      </c>
      <c r="C13" s="59" t="str">
        <f t="shared" si="1"/>
        <v/>
      </c>
      <c r="D13" s="59"/>
      <c r="E13" s="59" t="str">
        <f t="shared" si="0"/>
        <v/>
      </c>
      <c r="F13" s="58" t="s">
        <v>126</v>
      </c>
      <c r="G13" s="58" t="s">
        <v>126</v>
      </c>
    </row>
    <row r="14" spans="1:7" ht="24.95" customHeight="1">
      <c r="A14" s="58" t="s">
        <v>124</v>
      </c>
      <c r="B14" s="58" t="s">
        <v>125</v>
      </c>
      <c r="C14" s="59" t="str">
        <f t="shared" si="1"/>
        <v/>
      </c>
      <c r="D14" s="59"/>
      <c r="E14" s="59" t="str">
        <f t="shared" si="0"/>
        <v/>
      </c>
      <c r="F14" s="58" t="s">
        <v>126</v>
      </c>
      <c r="G14" s="58" t="s">
        <v>126</v>
      </c>
    </row>
    <row r="15" spans="1:7" ht="24.95" customHeight="1">
      <c r="A15" s="58" t="s">
        <v>124</v>
      </c>
      <c r="B15" s="58" t="s">
        <v>125</v>
      </c>
      <c r="C15" s="59" t="str">
        <f t="shared" si="1"/>
        <v/>
      </c>
      <c r="D15" s="59"/>
      <c r="E15" s="59" t="str">
        <f t="shared" si="0"/>
        <v/>
      </c>
      <c r="F15" s="58" t="s">
        <v>126</v>
      </c>
      <c r="G15" s="58" t="s">
        <v>126</v>
      </c>
    </row>
    <row r="16" spans="1:7" ht="24.95" customHeight="1">
      <c r="A16" s="58" t="s">
        <v>124</v>
      </c>
      <c r="B16" s="58" t="s">
        <v>125</v>
      </c>
      <c r="C16" s="59" t="str">
        <f t="shared" si="1"/>
        <v/>
      </c>
      <c r="D16" s="59"/>
      <c r="E16" s="59" t="str">
        <f t="shared" si="0"/>
        <v/>
      </c>
      <c r="F16" s="58" t="s">
        <v>126</v>
      </c>
      <c r="G16" s="58" t="s">
        <v>126</v>
      </c>
    </row>
    <row r="17" spans="1:7" ht="24.95" customHeight="1">
      <c r="A17" s="58" t="s">
        <v>124</v>
      </c>
      <c r="B17" s="58" t="s">
        <v>125</v>
      </c>
      <c r="C17" s="59" t="str">
        <f t="shared" si="1"/>
        <v/>
      </c>
      <c r="D17" s="59"/>
      <c r="E17" s="59" t="str">
        <f t="shared" si="0"/>
        <v/>
      </c>
      <c r="F17" s="58" t="s">
        <v>126</v>
      </c>
      <c r="G17" s="58" t="s">
        <v>126</v>
      </c>
    </row>
    <row r="18" spans="1:7" ht="24.95" customHeight="1">
      <c r="A18" s="58" t="s">
        <v>124</v>
      </c>
      <c r="B18" s="58" t="s">
        <v>125</v>
      </c>
      <c r="C18" s="59" t="str">
        <f t="shared" si="1"/>
        <v/>
      </c>
      <c r="D18" s="59"/>
      <c r="E18" s="59" t="str">
        <f t="shared" si="0"/>
        <v/>
      </c>
      <c r="F18" s="58" t="s">
        <v>126</v>
      </c>
      <c r="G18" s="58" t="s">
        <v>126</v>
      </c>
    </row>
    <row r="19" spans="1:7">
      <c r="A19" s="61"/>
      <c r="B19" s="61"/>
      <c r="C19" s="61"/>
      <c r="D19" s="61"/>
      <c r="E19" s="61"/>
      <c r="F19" s="61"/>
      <c r="G19" s="61"/>
    </row>
    <row r="20" spans="1:7">
      <c r="A20" s="62" t="s">
        <v>127</v>
      </c>
      <c r="B20" s="62"/>
      <c r="C20" s="62"/>
      <c r="D20" s="63"/>
      <c r="E20" s="62" t="s">
        <v>128</v>
      </c>
      <c r="F20" s="62"/>
      <c r="G20" s="62"/>
    </row>
    <row r="21" spans="1:7">
      <c r="A21" s="62" t="s">
        <v>129</v>
      </c>
      <c r="B21" s="62"/>
      <c r="C21" s="62"/>
      <c r="D21" s="63"/>
      <c r="E21" s="62" t="s">
        <v>129</v>
      </c>
      <c r="F21" s="62"/>
      <c r="G21" s="62"/>
    </row>
  </sheetData>
  <mergeCells count="8">
    <mergeCell ref="A20:C20"/>
    <mergeCell ref="E20:G20"/>
    <mergeCell ref="A21:C21"/>
    <mergeCell ref="E21:G21"/>
    <mergeCell ref="A1:G1"/>
    <mergeCell ref="D3:E3"/>
    <mergeCell ref="D4:E4"/>
    <mergeCell ref="D5:E5"/>
  </mergeCells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ColWidth="8.625" defaultRowHeight="13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Dashboard</vt:lpstr>
      <vt:lpstr>Master Register</vt:lpstr>
      <vt:lpstr>Print Index</vt:lpstr>
      <vt:lpstr>Voucher 01</vt:lpstr>
      <vt:lpstr>Voucher 02</vt:lpstr>
      <vt:lpstr>Voucher 03</vt:lpstr>
      <vt:lpstr>Voucher 04</vt:lpstr>
      <vt:lpstr>Voucher 05</vt:lpstr>
      <vt:lpstr>Voucher 06</vt:lpstr>
      <vt:lpstr>Voucher 07</vt:lpstr>
      <vt:lpstr>Voucher 08</vt:lpstr>
      <vt:lpstr>Voucher 09</vt:lpstr>
      <vt:lpstr>Voucher 10</vt:lpstr>
      <vt:lpstr>Voucher 11</vt:lpstr>
      <vt:lpstr>Voucher 12</vt:lpstr>
      <vt:lpstr>Voucher 13</vt:lpstr>
      <vt:lpstr>Voucher 14</vt:lpstr>
      <vt:lpstr>Voucher 15</vt:lpstr>
      <vt:lpstr>Voucher 16</vt:lpstr>
      <vt:lpstr>Voucher 17</vt:lpstr>
      <vt:lpstr>Voucher 18</vt:lpstr>
      <vt:lpstr>Voucher 19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cp:lastPrinted>2026-06-04T12:41:13Z</cp:lastPrinted>
  <dcterms:created xsi:type="dcterms:W3CDTF">2026-06-03T18:40:00Z</dcterms:created>
  <dcterms:modified xsi:type="dcterms:W3CDTF">2026-06-04T12:44:23Z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AA6797496F2C470B8C1EFD626871615F_12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